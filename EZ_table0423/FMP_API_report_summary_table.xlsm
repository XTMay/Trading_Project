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workbookPr/>
  <mc:AlternateContent xmlns:mc="http://schemas.openxmlformats.org/markup-compatibility/2006">
    <mc:Choice Requires="x15">
      <x15ac:absPath xmlns:x15ac="http://schemas.microsoft.com/office/spreadsheetml/2010/11/ac" url="C:\EZ_table_Gene\EZ_table0227\"/>
    </mc:Choice>
  </mc:AlternateContent>
  <xr:revisionPtr revIDLastSave="0" documentId="13_ncr:1_{378934D2-B5FA-49D1-9F52-5D1D16CB2D07}" xr6:coauthVersionLast="47" xr6:coauthVersionMax="47" xr10:uidLastSave="{00000000-0000-0000-0000-000000000000}"/>
  <bookViews>
    <workbookView xWindow="28680" yWindow="-75" windowWidth="29040" windowHeight="15840" xr2:uid="{00000000-000D-0000-FFFF-FFFF00000000}"/>
  </bookViews>
  <sheets>
    <sheet name="美股" sheetId="1" r:id="rId1"/>
  </sheets>
  <definedNames>
    <definedName name="_xleta.RIGH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N8" i="1" l="1"/>
  <c r="BN9" i="1"/>
  <c r="BN10" i="1"/>
  <c r="BN11" i="1"/>
  <c r="BN12" i="1"/>
  <c r="BN13" i="1"/>
  <c r="BN14" i="1"/>
  <c r="BN15" i="1"/>
  <c r="BN16" i="1"/>
  <c r="BN17" i="1"/>
  <c r="BN18" i="1"/>
  <c r="BN19" i="1"/>
  <c r="BN20" i="1"/>
  <c r="BN21" i="1"/>
  <c r="BN22" i="1"/>
  <c r="BN23" i="1"/>
  <c r="BN24" i="1"/>
  <c r="BN25" i="1"/>
  <c r="BN26" i="1"/>
  <c r="BN27" i="1"/>
  <c r="BN28" i="1"/>
  <c r="BN29" i="1"/>
  <c r="BN30" i="1"/>
  <c r="BN31" i="1"/>
  <c r="BN32" i="1"/>
  <c r="BN33" i="1"/>
  <c r="BN34" i="1"/>
  <c r="BN35" i="1"/>
  <c r="BN36" i="1"/>
  <c r="BN37" i="1"/>
  <c r="BN38" i="1"/>
  <c r="BN39" i="1"/>
  <c r="BN40" i="1"/>
  <c r="BN41" i="1"/>
  <c r="BN42" i="1"/>
  <c r="BN43" i="1"/>
  <c r="BN44" i="1"/>
  <c r="BN45" i="1"/>
  <c r="BN46" i="1"/>
  <c r="BN47" i="1"/>
  <c r="BN48" i="1"/>
  <c r="BN49" i="1"/>
  <c r="BN50" i="1"/>
  <c r="BN51" i="1"/>
  <c r="BN52" i="1"/>
  <c r="BN53" i="1"/>
  <c r="BN54" i="1"/>
  <c r="BN55" i="1"/>
  <c r="BN56" i="1"/>
  <c r="BN57" i="1"/>
  <c r="BN58" i="1"/>
  <c r="BN59" i="1"/>
  <c r="BN60" i="1"/>
  <c r="BN61" i="1"/>
  <c r="BN62" i="1"/>
  <c r="BN63" i="1"/>
  <c r="BN64" i="1"/>
  <c r="BN65" i="1"/>
  <c r="BN66" i="1"/>
  <c r="BN67" i="1"/>
  <c r="BN68" i="1"/>
  <c r="BN69" i="1"/>
  <c r="BN70" i="1"/>
  <c r="BN71" i="1"/>
  <c r="BN72" i="1"/>
  <c r="BN73" i="1"/>
  <c r="BN74" i="1"/>
  <c r="BN75" i="1"/>
  <c r="BN76" i="1"/>
  <c r="BN77" i="1"/>
  <c r="BN78" i="1"/>
  <c r="BN79" i="1"/>
  <c r="BN80" i="1"/>
  <c r="BN81" i="1"/>
  <c r="BN82" i="1"/>
  <c r="BN83" i="1"/>
  <c r="BN84" i="1"/>
  <c r="BN85" i="1"/>
  <c r="BN86" i="1"/>
  <c r="BN87" i="1"/>
  <c r="BN88" i="1"/>
  <c r="BN89" i="1"/>
  <c r="BN90" i="1"/>
  <c r="BN91" i="1"/>
  <c r="BN92" i="1"/>
  <c r="BN93" i="1"/>
  <c r="BN94" i="1"/>
  <c r="BN95" i="1"/>
  <c r="BN96" i="1"/>
  <c r="BN97" i="1"/>
  <c r="BN98" i="1"/>
  <c r="BN99" i="1"/>
  <c r="BN100" i="1"/>
  <c r="BN101" i="1"/>
  <c r="BN102" i="1"/>
  <c r="BN103" i="1"/>
  <c r="BN104" i="1"/>
  <c r="BN105" i="1"/>
  <c r="BN106" i="1"/>
  <c r="BN107" i="1"/>
  <c r="BN108" i="1"/>
  <c r="BN109" i="1"/>
  <c r="BN110" i="1"/>
  <c r="BN111" i="1"/>
  <c r="BN112" i="1"/>
  <c r="BN113" i="1"/>
  <c r="BN114" i="1"/>
  <c r="BN115" i="1"/>
  <c r="BN116" i="1"/>
  <c r="BN117" i="1"/>
  <c r="BN118" i="1"/>
  <c r="BN119" i="1"/>
  <c r="BN120" i="1"/>
  <c r="BN121" i="1"/>
  <c r="BN122" i="1"/>
  <c r="BN123" i="1"/>
  <c r="BN124" i="1"/>
  <c r="BN125" i="1"/>
  <c r="BN126" i="1"/>
  <c r="BN127" i="1"/>
  <c r="BN128" i="1"/>
  <c r="BN129" i="1"/>
  <c r="BN130" i="1"/>
  <c r="BN131" i="1"/>
  <c r="BN132" i="1"/>
  <c r="BN133" i="1"/>
  <c r="BN134" i="1"/>
  <c r="BN135" i="1"/>
  <c r="BN136" i="1"/>
  <c r="BN137" i="1"/>
  <c r="BN138" i="1"/>
  <c r="BN139" i="1"/>
  <c r="BN140" i="1"/>
  <c r="BN141" i="1"/>
  <c r="BN142" i="1"/>
  <c r="BN143" i="1"/>
  <c r="BN144" i="1"/>
  <c r="BN145" i="1"/>
  <c r="BN146" i="1"/>
  <c r="BN147" i="1"/>
  <c r="BN148" i="1"/>
  <c r="BN149" i="1"/>
  <c r="BN150" i="1"/>
  <c r="BN151" i="1"/>
  <c r="BN152" i="1"/>
  <c r="BN153" i="1"/>
  <c r="BN154" i="1"/>
  <c r="BN155" i="1"/>
  <c r="BN156" i="1"/>
  <c r="BN157" i="1"/>
  <c r="BN158" i="1"/>
  <c r="BN159" i="1"/>
  <c r="BN160" i="1"/>
  <c r="BN161" i="1"/>
  <c r="BN162" i="1"/>
  <c r="BN163" i="1"/>
  <c r="BN164" i="1"/>
  <c r="BN165" i="1"/>
  <c r="BN166" i="1"/>
  <c r="BN167" i="1"/>
  <c r="BN168" i="1"/>
  <c r="BN169" i="1"/>
  <c r="BN170" i="1"/>
  <c r="BN171" i="1"/>
  <c r="BN172" i="1"/>
  <c r="BN173" i="1"/>
  <c r="BN174" i="1"/>
  <c r="BN175" i="1"/>
  <c r="BN176" i="1"/>
  <c r="BN177" i="1"/>
  <c r="BN178" i="1"/>
  <c r="BN179" i="1"/>
  <c r="BN180" i="1"/>
  <c r="BN181" i="1"/>
  <c r="BN182" i="1"/>
  <c r="BN183" i="1"/>
  <c r="BN184" i="1"/>
  <c r="BN185" i="1"/>
  <c r="BN186" i="1"/>
  <c r="BN187" i="1"/>
  <c r="BN188" i="1"/>
  <c r="BN189" i="1"/>
  <c r="BN190" i="1"/>
  <c r="BN191" i="1"/>
  <c r="BN192" i="1"/>
  <c r="BN193" i="1"/>
  <c r="BN194" i="1"/>
  <c r="BN195" i="1"/>
  <c r="BN196" i="1"/>
  <c r="BN197" i="1"/>
  <c r="BN198" i="1"/>
  <c r="BN7" i="1"/>
</calcChain>
</file>

<file path=xl/sharedStrings.xml><?xml version="1.0" encoding="utf-8"?>
<sst xmlns="http://schemas.openxmlformats.org/spreadsheetml/2006/main" count="603" uniqueCount="451">
  <si>
    <t>Canadian Imperial Bank of Commerce CM (NYQ) : Financial Services*Banks - Diversified</t>
  </si>
  <si>
    <t>2026-03-06</t>
  </si>
  <si>
    <t>1 / 9 Quarterly Income Statement</t>
  </si>
  <si>
    <t>2 / 9 Quarterly Balance Sheet</t>
  </si>
  <si>
    <t>3 / 9 Annual Income Statement</t>
  </si>
  <si>
    <t>4 / 9 Annual Balance Sheet</t>
  </si>
  <si>
    <t>5 / 9 Historical stock price</t>
  </si>
  <si>
    <t>6 / 9 Company Profile</t>
  </si>
  <si>
    <t>8 / 9 Annual Cash Flow</t>
  </si>
  <si>
    <t>9 / 9 Market capitalization</t>
  </si>
  <si>
    <t>CM</t>
  </si>
  <si>
    <t>Item</t>
  </si>
  <si>
    <t>2024-10</t>
  </si>
  <si>
    <t>2025-01</t>
  </si>
  <si>
    <t>2025-04</t>
  </si>
  <si>
    <t>2025-07</t>
  </si>
  <si>
    <t>2025-10</t>
  </si>
  <si>
    <t>TTM</t>
  </si>
  <si>
    <t>2021</t>
  </si>
  <si>
    <t>2022</t>
  </si>
  <si>
    <t>2023</t>
  </si>
  <si>
    <t>2024</t>
  </si>
  <si>
    <t>2025</t>
  </si>
  <si>
    <t>Company Name</t>
  </si>
  <si>
    <t>Canadian Imperial Bank of Commerce</t>
  </si>
  <si>
    <t>Currency Pair</t>
  </si>
  <si>
    <t>USD/CAD</t>
  </si>
  <si>
    <t>Market Cap ($M)</t>
  </si>
  <si>
    <t>Tax Effect Of Unusual Items</t>
  </si>
  <si>
    <t>Treasury Shares Number</t>
  </si>
  <si>
    <t>Ticker</t>
  </si>
  <si>
    <t>Exchange Rate (Close)</t>
  </si>
  <si>
    <t>Free Cash Flow</t>
  </si>
  <si>
    <t>Enterprise Value ($M)</t>
  </si>
  <si>
    <t>Tax Rate For Calcs</t>
  </si>
  <si>
    <t>Preferred Shares Number</t>
  </si>
  <si>
    <t>Date</t>
  </si>
  <si>
    <t>Open</t>
  </si>
  <si>
    <t>High</t>
  </si>
  <si>
    <t>Low</t>
  </si>
  <si>
    <t>Close</t>
  </si>
  <si>
    <t>Volume</t>
  </si>
  <si>
    <t>Exchange</t>
  </si>
  <si>
    <t>NYQ</t>
  </si>
  <si>
    <t>Repurchase Of Capital Stock</t>
  </si>
  <si>
    <t>Trailing PE</t>
  </si>
  <si>
    <t>Total Unusual Items</t>
  </si>
  <si>
    <t>Ordinary Shares Number</t>
  </si>
  <si>
    <t>Sector</t>
  </si>
  <si>
    <t>Financial Services</t>
  </si>
  <si>
    <t>Repayment Of Debt</t>
  </si>
  <si>
    <t>Forward PE</t>
  </si>
  <si>
    <t>Total Unusual Items Excluding Goodwill</t>
  </si>
  <si>
    <t>Share Issued</t>
  </si>
  <si>
    <t>Industry</t>
  </si>
  <si>
    <t>Banks - Diversified</t>
  </si>
  <si>
    <t>Issuance Of Debt</t>
  </si>
  <si>
    <t>EPS (TTM)</t>
  </si>
  <si>
    <t>Net Income From Continuing Operation Net Minority Interest</t>
  </si>
  <si>
    <t>Net Debt</t>
  </si>
  <si>
    <t>Country</t>
  </si>
  <si>
    <t>Canada</t>
  </si>
  <si>
    <t>Issuance Of Capital Stock</t>
  </si>
  <si>
    <t>Dividend Yield</t>
  </si>
  <si>
    <t>Reconciled Depreciation</t>
  </si>
  <si>
    <t>Total Debt</t>
  </si>
  <si>
    <t>Currency</t>
  </si>
  <si>
    <t>USD</t>
  </si>
  <si>
    <t>Capital Expenditure</t>
  </si>
  <si>
    <t>Payout Ratio</t>
  </si>
  <si>
    <t>Net Interest Income</t>
  </si>
  <si>
    <t>Tangible Book Value</t>
  </si>
  <si>
    <t>CAD</t>
  </si>
  <si>
    <t>Interest Paid Supplemental Data</t>
  </si>
  <si>
    <t>Beta</t>
  </si>
  <si>
    <t>Interest Expense</t>
  </si>
  <si>
    <t>Invested Capital</t>
  </si>
  <si>
    <t>Current Price</t>
  </si>
  <si>
    <t>Income Tax Paid Supplemental Data</t>
  </si>
  <si>
    <t>52 Week High</t>
  </si>
  <si>
    <t>Interest Income</t>
  </si>
  <si>
    <t>Net Tangible Assets</t>
  </si>
  <si>
    <t>Market Cap</t>
  </si>
  <si>
    <t>End Cash Position</t>
  </si>
  <si>
    <t>52 Week Low</t>
  </si>
  <si>
    <t>Normalized Income</t>
  </si>
  <si>
    <t>Common Stock Equity</t>
  </si>
  <si>
    <t>Enterprise Value</t>
  </si>
  <si>
    <t>Beginning Cash Position</t>
  </si>
  <si>
    <t>Revenue (TTM)</t>
  </si>
  <si>
    <t>Net Income From Continuing And Discontinued Operation</t>
  </si>
  <si>
    <t>Preferred Stock Equity</t>
  </si>
  <si>
    <t>Effect Of Exchange Rate Changes</t>
  </si>
  <si>
    <t>Net Income (TTM)</t>
  </si>
  <si>
    <t>Diluted Average Shares</t>
  </si>
  <si>
    <t>Total Capitalization</t>
  </si>
  <si>
    <t>Changes In Cash</t>
  </si>
  <si>
    <t>Shares Outstanding</t>
  </si>
  <si>
    <t>Basic Average Shares</t>
  </si>
  <si>
    <t>Total Equity Gross Minority Interest</t>
  </si>
  <si>
    <t>Financing Cash Flow</t>
  </si>
  <si>
    <t>Float Shares</t>
  </si>
  <si>
    <t>Canadian Imperial Bank of Commerce, a diversified financial institution, provides various financial products and services to personal, business, public sector, and institutional clients in Canada, the United States, and internationally. The company operates through Canadian Personal and Business Banking; Canadian Commercial Banking and Wealth Management; U.S. Commercial Banking and Wealth Management; Capital Markets and Direct Financial Services; and Corporate and Other segments. It offers checking, savings, agriculture, and business accounts; mortgages; business, car, education, home, and other loans; lines of credit and agriculture loans; and cash management, small business financing, and overdraft protection services. The company also provides investment and insurance services; healthcare banking; credit cards; private banking, wealth planning, investment management, and estate planning and trust; and ATMs, as well as mobile, online, and global money and wire transfer services. Canadian Imperial Bank of Commerce was founded in 1867 and is headquartered in Toronto, Canada.</t>
  </si>
  <si>
    <t>Diluted EPS</t>
  </si>
  <si>
    <t>Minority Interest</t>
  </si>
  <si>
    <t>Cash Flow From Continuing Financing Activities</t>
  </si>
  <si>
    <t>Implied Shares Outstanding</t>
  </si>
  <si>
    <t>Basic EPS</t>
  </si>
  <si>
    <t>Stockholders Equity</t>
  </si>
  <si>
    <t>Net Other Financing Charges</t>
  </si>
  <si>
    <t>Held by Insiders (%)</t>
  </si>
  <si>
    <t>Diluted NI Availto Com Stockholders</t>
  </si>
  <si>
    <t>Gains Losses Not Affecting Retained Earnings</t>
  </si>
  <si>
    <t>Cash Dividends Paid</t>
  </si>
  <si>
    <t>Held by Institutions (%)</t>
  </si>
  <si>
    <t>Net Income Common Stockholders</t>
  </si>
  <si>
    <t>Other Equity Adjustments</t>
  </si>
  <si>
    <t>Net Preferred Stock Issuance</t>
  </si>
  <si>
    <t>Short Shares</t>
  </si>
  <si>
    <t>Preferred Stock Dividends</t>
  </si>
  <si>
    <t>Retained Earnings</t>
  </si>
  <si>
    <t>Preferred Stock Payments</t>
  </si>
  <si>
    <t>Short Prior Month</t>
  </si>
  <si>
    <t>Net Income</t>
  </si>
  <si>
    <t>Additional Paid In Capital</t>
  </si>
  <si>
    <t>Preferred Stock Issuance</t>
  </si>
  <si>
    <t>Short % of Shares Outstanding</t>
  </si>
  <si>
    <t>Minority Interests</t>
  </si>
  <si>
    <t>Capital Stock</t>
  </si>
  <si>
    <t>Net Common Stock Issuance</t>
  </si>
  <si>
    <t>TTM EPS</t>
  </si>
  <si>
    <t>Net Income Including Noncontrolling Interests</t>
  </si>
  <si>
    <t>Common Stock</t>
  </si>
  <si>
    <t>Website</t>
  </si>
  <si>
    <t>https://www.cibc.com</t>
  </si>
  <si>
    <t>Common Stock Payments</t>
  </si>
  <si>
    <t>[Annual Earnings]</t>
  </si>
  <si>
    <t>Net Income Continuous Operations</t>
  </si>
  <si>
    <t>Preferred Stock</t>
  </si>
  <si>
    <t>Description</t>
  </si>
  <si>
    <t>Common Stock Issuance</t>
  </si>
  <si>
    <t>Earnings 2022</t>
  </si>
  <si>
    <t>Tax Provision</t>
  </si>
  <si>
    <t>Total Liabilities Net Minority Interest</t>
  </si>
  <si>
    <t>Net Issuance Payments Of Debt</t>
  </si>
  <si>
    <t>Earnings 2023</t>
  </si>
  <si>
    <t>Pretax Income</t>
  </si>
  <si>
    <t>Derivative Product Liabilities</t>
  </si>
  <si>
    <t>Net Long Term Debt Issuance</t>
  </si>
  <si>
    <t>Earnings 2024</t>
  </si>
  <si>
    <t>Special Income Charges</t>
  </si>
  <si>
    <t>Employee Benefits</t>
  </si>
  <si>
    <t>Long Term Debt Payments</t>
  </si>
  <si>
    <t>Earnings 2025</t>
  </si>
  <si>
    <t>Other Special Charges</t>
  </si>
  <si>
    <t>Non Current Pension And Other Postretirement Benefit Plans</t>
  </si>
  <si>
    <t>Long Term Debt Issuance</t>
  </si>
  <si>
    <t>[Quarterly Earnings]</t>
  </si>
  <si>
    <t>Gain On Sale Of Security</t>
  </si>
  <si>
    <t>Non Current Deferred Liabilities</t>
  </si>
  <si>
    <t>Impairment Of Capital Assets</t>
  </si>
  <si>
    <t>Investing Cash Flow</t>
  </si>
  <si>
    <t>Earnings 2024-10-31</t>
  </si>
  <si>
    <t>Selling General And Administration</t>
  </si>
  <si>
    <t>Non Current Deferred Taxes Liabilities</t>
  </si>
  <si>
    <t>Restructuring And Mergern Acquisition</t>
  </si>
  <si>
    <t>Cash Flow From Continuing Investing Activities</t>
  </si>
  <si>
    <t>Earnings 2025-01-31</t>
  </si>
  <si>
    <t>Selling And Marketing Expense</t>
  </si>
  <si>
    <t>Long Term Debt And Capital Lease Obligation</t>
  </si>
  <si>
    <t>Net Investment Purchase And Sale</t>
  </si>
  <si>
    <t>Earnings 2025-04-30</t>
  </si>
  <si>
    <t>General And Administrative Expense</t>
  </si>
  <si>
    <t>Long Term Debt</t>
  </si>
  <si>
    <t>Sale Of Investment</t>
  </si>
  <si>
    <t>Earnings 2025-07-31</t>
  </si>
  <si>
    <t>Salaries And Wages</t>
  </si>
  <si>
    <t>Current Debt And Capital Lease Obligation</t>
  </si>
  <si>
    <t>Purchase Of Investment</t>
  </si>
  <si>
    <t>Earnings 2025-10-31</t>
  </si>
  <si>
    <t>Total Revenue</t>
  </si>
  <si>
    <t>Current Debt</t>
  </si>
  <si>
    <t>Net Business Purchase And Sale</t>
  </si>
  <si>
    <t>Operating Revenue</t>
  </si>
  <si>
    <t>Other Current Borrowings</t>
  </si>
  <si>
    <t>Purchase Of Business</t>
  </si>
  <si>
    <t>Occupancy And Equipment</t>
  </si>
  <si>
    <t>Commercial Paper</t>
  </si>
  <si>
    <t>Net PPE Purchase And Sale</t>
  </si>
  <si>
    <t>Professional Expense And Contract Services Expense</t>
  </si>
  <si>
    <t>Current Notes Payable</t>
  </si>
  <si>
    <t>Operating Cash Flow</t>
  </si>
  <si>
    <t>Other Non Interest Expense</t>
  </si>
  <si>
    <t>Payables And Accrued Expenses</t>
  </si>
  <si>
    <t>Cash Flow From Continuing Operating Activities</t>
  </si>
  <si>
    <t>Current Accrued Expenses</t>
  </si>
  <si>
    <t>Change In Working Capital</t>
  </si>
  <si>
    <t>[Unusual / Special Items]</t>
  </si>
  <si>
    <t>Payables</t>
  </si>
  <si>
    <t>Change In Other Working Capital</t>
  </si>
  <si>
    <t>Other Payable</t>
  </si>
  <si>
    <t>Change In Payables And Accrued Expense</t>
  </si>
  <si>
    <t>Accounts Payable</t>
  </si>
  <si>
    <t>Change In Payable</t>
  </si>
  <si>
    <t>Total Assets</t>
  </si>
  <si>
    <t>Change In Account Payable</t>
  </si>
  <si>
    <t>Defined Pension Benefit</t>
  </si>
  <si>
    <t>Change In Receivables</t>
  </si>
  <si>
    <t>Investments And Advances</t>
  </si>
  <si>
    <t>Changes In Account Receivables</t>
  </si>
  <si>
    <t>Available For Sale Securities</t>
  </si>
  <si>
    <t>Other Non Cash Items</t>
  </si>
  <si>
    <t>Long Term Equity Investment</t>
  </si>
  <si>
    <t>Stock Based Compensation</t>
  </si>
  <si>
    <t>Goodwill And Other Intangible Assets</t>
  </si>
  <si>
    <t>Deferred Tax</t>
  </si>
  <si>
    <t>Other Intangible Assets</t>
  </si>
  <si>
    <t>Deferred Income Tax</t>
  </si>
  <si>
    <t>Goodwill</t>
  </si>
  <si>
    <t>Depreciation Amortization Depletion</t>
  </si>
  <si>
    <t>Net PPE</t>
  </si>
  <si>
    <t>Depreciation And Amortization</t>
  </si>
  <si>
    <t>Accumulated Depreciation</t>
  </si>
  <si>
    <t>Amortization Cash Flow</t>
  </si>
  <si>
    <t>Gross PPE</t>
  </si>
  <si>
    <t>Amortization Of Intangibles</t>
  </si>
  <si>
    <t>Leases</t>
  </si>
  <si>
    <t>Operating Gains Losses</t>
  </si>
  <si>
    <t>Other Properties</t>
  </si>
  <si>
    <t>Gain Loss On Investment Securities</t>
  </si>
  <si>
    <t>Machinery Furniture Equipment</t>
  </si>
  <si>
    <t>Gain Loss On Sale Of PPE</t>
  </si>
  <si>
    <t>Land And Improvements</t>
  </si>
  <si>
    <t>Net Income From Continuing Operations</t>
  </si>
  <si>
    <t>Prepaid Assets</t>
  </si>
  <si>
    <t>Receivables</t>
  </si>
  <si>
    <t>Other Receivables</t>
  </si>
  <si>
    <t>Accounts Receivable</t>
  </si>
  <si>
    <t>Other Short Term Investments</t>
  </si>
  <si>
    <t>Cash And Cash Equivalents</t>
  </si>
  <si>
    <t>Cash Financial</t>
  </si>
  <si>
    <t>Cash Equivalents</t>
  </si>
  <si>
    <t>Cash Cash Equivalents And Federal Funds Sold</t>
  </si>
  <si>
    <t>Adj Close</t>
  </si>
  <si>
    <t>Dividends</t>
  </si>
  <si>
    <t>Stock Splits</t>
  </si>
  <si>
    <t>2026/03/01</t>
  </si>
  <si>
    <t>2026/02/01</t>
  </si>
  <si>
    <t>2026/01/01</t>
  </si>
  <si>
    <t>2025/12/01</t>
  </si>
  <si>
    <t>2025/11/01</t>
  </si>
  <si>
    <t>2025/10/01</t>
  </si>
  <si>
    <t>2025/09/01</t>
  </si>
  <si>
    <t>2025/08/01</t>
  </si>
  <si>
    <t>2025/07/01</t>
  </si>
  <si>
    <t>2025/06/27</t>
  </si>
  <si>
    <t>2025/06/01</t>
  </si>
  <si>
    <t>2025/05/01</t>
  </si>
  <si>
    <t>2025/04/01</t>
  </si>
  <si>
    <t>2025/03/28</t>
  </si>
  <si>
    <t>2025/03/01</t>
  </si>
  <si>
    <t>2025/02/01</t>
  </si>
  <si>
    <t>2025/01/01</t>
  </si>
  <si>
    <t>2024/12/27</t>
  </si>
  <si>
    <t>2024/12/01</t>
  </si>
  <si>
    <t>2024/11/01</t>
  </si>
  <si>
    <t>2024/10/01</t>
  </si>
  <si>
    <t>2024/09/27</t>
  </si>
  <si>
    <t>2024/09/01</t>
  </si>
  <si>
    <t>2024/08/01</t>
  </si>
  <si>
    <t>2024/07/01</t>
  </si>
  <si>
    <t>2024/06/28</t>
  </si>
  <si>
    <t>2024/06/01</t>
  </si>
  <si>
    <t>2024/05/01</t>
  </si>
  <si>
    <t>2024/04/01</t>
  </si>
  <si>
    <t>2024/03/27</t>
  </si>
  <si>
    <t>2024/03/01</t>
  </si>
  <si>
    <t>2024/02/01</t>
  </si>
  <si>
    <t>2024/01/01</t>
  </si>
  <si>
    <t>2023/12/27</t>
  </si>
  <si>
    <t>2023/12/01</t>
  </si>
  <si>
    <t>2023/11/01</t>
  </si>
  <si>
    <t>2023/10/01</t>
  </si>
  <si>
    <t>2023/09/27</t>
  </si>
  <si>
    <t>2023/09/01</t>
  </si>
  <si>
    <t>2023/08/01</t>
  </si>
  <si>
    <t>2023/07/01</t>
  </si>
  <si>
    <t>2023/06/27</t>
  </si>
  <si>
    <t>2023/06/01</t>
  </si>
  <si>
    <t>2023/05/01</t>
  </si>
  <si>
    <t>2023/04/01</t>
  </si>
  <si>
    <t>2023/03/27</t>
  </si>
  <si>
    <t>2023/03/01</t>
  </si>
  <si>
    <t>2023/02/01</t>
  </si>
  <si>
    <t>2023/01/01</t>
  </si>
  <si>
    <t>2022/12/23</t>
  </si>
  <si>
    <t>2022/12/01</t>
  </si>
  <si>
    <t>2022/11/01</t>
  </si>
  <si>
    <t>2022/10/01</t>
  </si>
  <si>
    <t>2022/09/27</t>
  </si>
  <si>
    <t>2022/09/01</t>
  </si>
  <si>
    <t>2022/08/01</t>
  </si>
  <si>
    <t>2022/07/01</t>
  </si>
  <si>
    <t>2022/06/27</t>
  </si>
  <si>
    <t>2022/06/01</t>
  </si>
  <si>
    <t>2022/05/16</t>
  </si>
  <si>
    <t>2022/05/01</t>
  </si>
  <si>
    <t>2022/04/01</t>
  </si>
  <si>
    <t>2022/03/25</t>
  </si>
  <si>
    <t>2022/03/01</t>
  </si>
  <si>
    <t>2022/02/01</t>
  </si>
  <si>
    <t>2022/01/01</t>
  </si>
  <si>
    <t>2021/12/01</t>
  </si>
  <si>
    <t>2021/11/01</t>
  </si>
  <si>
    <t>2021/10/01</t>
  </si>
  <si>
    <t>2021/09/27</t>
  </si>
  <si>
    <t>2021/09/01</t>
  </si>
  <si>
    <t>2021/08/01</t>
  </si>
  <si>
    <t>2021/07/01</t>
  </si>
  <si>
    <t>2021/06/25</t>
  </si>
  <si>
    <t>2021/06/01</t>
  </si>
  <si>
    <t>2021/05/01</t>
  </si>
  <si>
    <t>2021/04/01</t>
  </si>
  <si>
    <t>2021/03/26</t>
  </si>
  <si>
    <t>2021/03/01</t>
  </si>
  <si>
    <t>2021/02/01</t>
  </si>
  <si>
    <t>2021/01/01</t>
  </si>
  <si>
    <t>2020/12/24</t>
  </si>
  <si>
    <t>2020/12/01</t>
  </si>
  <si>
    <t>2020/11/01</t>
  </si>
  <si>
    <t>2020/10/01</t>
  </si>
  <si>
    <t>2020/09/25</t>
  </si>
  <si>
    <t>2020/09/01</t>
  </si>
  <si>
    <t>2020/08/01</t>
  </si>
  <si>
    <t>2020/07/01</t>
  </si>
  <si>
    <t>2020/06/26</t>
  </si>
  <si>
    <t>2020/06/01</t>
  </si>
  <si>
    <t>2020/05/01</t>
  </si>
  <si>
    <t>2020/04/01</t>
  </si>
  <si>
    <t>2020/03/26</t>
  </si>
  <si>
    <t>2020/03/01</t>
  </si>
  <si>
    <t>2020/02/01</t>
  </si>
  <si>
    <t>2020/01/01</t>
  </si>
  <si>
    <t>2019/12/24</t>
  </si>
  <si>
    <t>2019/12/01</t>
  </si>
  <si>
    <t>2019/11/01</t>
  </si>
  <si>
    <t>2019/10/01</t>
  </si>
  <si>
    <t>2019/09/26</t>
  </si>
  <si>
    <t>2019/09/01</t>
  </si>
  <si>
    <t>2019/08/01</t>
  </si>
  <si>
    <t>2019/07/01</t>
  </si>
  <si>
    <t>2019/06/27</t>
  </si>
  <si>
    <t>2019/06/01</t>
  </si>
  <si>
    <t>2019/05/01</t>
  </si>
  <si>
    <t>2019/04/01</t>
  </si>
  <si>
    <t>2019/03/27</t>
  </si>
  <si>
    <t>2019/03/01</t>
  </si>
  <si>
    <t>2019/02/01</t>
  </si>
  <si>
    <t>2019/01/01</t>
  </si>
  <si>
    <t>2018/12/27</t>
  </si>
  <si>
    <t>2018/12/01</t>
  </si>
  <si>
    <t>2018/11/01</t>
  </si>
  <si>
    <t>2018/10/01</t>
  </si>
  <si>
    <t>2018/09/27</t>
  </si>
  <si>
    <t>2018/09/01</t>
  </si>
  <si>
    <t>2018/08/01</t>
  </si>
  <si>
    <t>2018/07/01</t>
  </si>
  <si>
    <t>2018/06/27</t>
  </si>
  <si>
    <t>2018/06/01</t>
  </si>
  <si>
    <t>2018/05/01</t>
  </si>
  <si>
    <t>2018/04/01</t>
  </si>
  <si>
    <t>2018/03/27</t>
  </si>
  <si>
    <t>2018/03/01</t>
  </si>
  <si>
    <t>2018/02/01</t>
  </si>
  <si>
    <t>2018/01/01</t>
  </si>
  <si>
    <t>2017/12/27</t>
  </si>
  <si>
    <t>2017/12/01</t>
  </si>
  <si>
    <t>2017/11/01</t>
  </si>
  <si>
    <t>2017/10/01</t>
  </si>
  <si>
    <t>2017/09/27</t>
  </si>
  <si>
    <t>2017/09/01</t>
  </si>
  <si>
    <t>2017/08/01</t>
  </si>
  <si>
    <t>2017/07/01</t>
  </si>
  <si>
    <t>2017/06/26</t>
  </si>
  <si>
    <t>2017/06/01</t>
  </si>
  <si>
    <t>2017/05/01</t>
  </si>
  <si>
    <t>2017/04/01</t>
  </si>
  <si>
    <t>2017/03/24</t>
  </si>
  <si>
    <t>2017/03/01</t>
  </si>
  <si>
    <t>2017/02/01</t>
  </si>
  <si>
    <t>2017/01/01</t>
  </si>
  <si>
    <t>2016/12/22</t>
  </si>
  <si>
    <t>2016/12/01</t>
  </si>
  <si>
    <t>2016/11/01</t>
  </si>
  <si>
    <t>2016/10/01</t>
  </si>
  <si>
    <t>2016/09/26</t>
  </si>
  <si>
    <t>2016/09/01</t>
  </si>
  <si>
    <t>2016/08/01</t>
  </si>
  <si>
    <t>2016/07/01</t>
  </si>
  <si>
    <t>2016/06/24</t>
  </si>
  <si>
    <t>2016/06/01</t>
  </si>
  <si>
    <t>2016/05/01</t>
  </si>
  <si>
    <t>2016/04/01</t>
  </si>
  <si>
    <t>2016/03/23</t>
  </si>
  <si>
    <t>2016/03/01</t>
  </si>
  <si>
    <t>2016/02/01</t>
  </si>
  <si>
    <t>2016/01/01</t>
  </si>
  <si>
    <t>2015/12/23</t>
  </si>
  <si>
    <t>2015/12/01</t>
  </si>
  <si>
    <t>2015/11/01</t>
  </si>
  <si>
    <t>2015/10/01</t>
  </si>
  <si>
    <t>2015/09/24</t>
  </si>
  <si>
    <t>2015/09/01</t>
  </si>
  <si>
    <t>2015/08/01</t>
  </si>
  <si>
    <t>2015/07/01</t>
  </si>
  <si>
    <t>2015/06/25</t>
  </si>
  <si>
    <t>2015/06/01</t>
  </si>
  <si>
    <t>2015/05/01</t>
  </si>
  <si>
    <t>2015/04/01</t>
  </si>
  <si>
    <t>2015/03/25</t>
  </si>
  <si>
    <t>2015/03/01</t>
  </si>
  <si>
    <t>2015/02/01</t>
  </si>
  <si>
    <t>2015/01/01</t>
  </si>
  <si>
    <t>2014/12/24</t>
  </si>
  <si>
    <t>2014/12/23</t>
  </si>
  <si>
    <t>2014/12/01</t>
  </si>
  <si>
    <t>2014/11/01</t>
  </si>
  <si>
    <t>2014/10/01</t>
  </si>
  <si>
    <t>2014/09/25</t>
  </si>
  <si>
    <t>2014/09/01</t>
  </si>
  <si>
    <t>2014/08/01</t>
  </si>
  <si>
    <t>2014/07/01</t>
  </si>
  <si>
    <t>2014/06/25</t>
  </si>
  <si>
    <t>2014/06/01</t>
  </si>
  <si>
    <t>2014/05/01</t>
  </si>
  <si>
    <t>2014/04/01</t>
  </si>
  <si>
    <t>2014/03/26</t>
  </si>
  <si>
    <t>2014/03/01</t>
  </si>
  <si>
    <t>2014/02/01</t>
  </si>
  <si>
    <t>2014/01/01</t>
  </si>
  <si>
    <t>7 / 9 Foreign exchange rate</t>
    <phoneticPr fontId="4" type="noConversion"/>
  </si>
  <si>
    <t>AE1</t>
    <phoneticPr fontId="4" type="noConversion"/>
  </si>
  <si>
    <t>AN1</t>
    <phoneticPr fontId="4" type="noConversion"/>
  </si>
  <si>
    <t>AW1</t>
    <phoneticPr fontId="4" type="noConversion"/>
  </si>
  <si>
    <t>BF1</t>
    <phoneticPr fontId="4" type="noConversion"/>
  </si>
  <si>
    <t>BO1</t>
    <phoneticPr fontId="4" type="noConversion"/>
  </si>
  <si>
    <t>BX1</t>
    <phoneticPr fontId="4" type="noConversion"/>
  </si>
  <si>
    <t>CA1</t>
    <phoneticPr fontId="4" type="noConversion"/>
  </si>
  <si>
    <t>CE1</t>
    <phoneticPr fontId="4" type="noConversion"/>
  </si>
  <si>
    <t>CN1</t>
    <phoneticPr fontId="4" type="noConversion"/>
  </si>
  <si>
    <t>Financial Currency</t>
    <phoneticPr fontId="4"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</si>
</sst>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3" formatCode="_-* #,##0.00_-;\-* #,##0.00_-;_-* &quot;-&quot;??_-;_-@_-"/>
    <numFmt numFmtId="177" formatCode="_-* #,##0_-;\-* #,##0_-;_-* &quot;-&quot;??_-;_-@_-"/>
  </numFmts>
  <fonts count="9" x14ac:knownFonts="1">
    <font>
      <sz val="11"/>
      <color theme="1"/>
      <name val="新細明體"/>
      <family val="2"/>
      <scheme val="minor"/>
    </font>
    <font>
      <sz val="11"/>
      <color theme="1"/>
      <name val="新細明體"/>
      <family val="2"/>
      <scheme val="minor"/>
    </font>
    <font>
      <sz val="12"/>
      <color rgb="FF006100"/>
      <name val="新細明體"/>
      <family val="2"/>
      <charset val="136"/>
      <scheme val="minor"/>
    </font>
    <font>
      <b/>
      <sz val="11"/>
      <color rgb="FF0070C0"/>
      <name val="新細明體"/>
      <family val="1"/>
      <charset val="136"/>
      <scheme val="minor"/>
    </font>
    <font>
      <sz val="9"/>
      <name val="新細明體"/>
      <family val="3"/>
      <charset val="136"/>
      <scheme val="minor"/>
    </font>
    <font>
      <b/>
      <sz val="12"/>
      <color rgb="FF006100"/>
      <name val="新細明體"/>
      <family val="1"/>
      <charset val="136"/>
      <scheme val="minor"/>
    </font>
    <font>
      <b/>
      <sz val="12"/>
      <color rgb="FF9C0006"/>
      <name val="新細明體"/>
      <family val="1"/>
      <charset val="136"/>
      <scheme val="minor"/>
    </font>
    <font>
      <b/>
      <sz val="11"/>
      <color theme="1"/>
      <name val="新細明體"/>
      <family val="2"/>
      <scheme val="minor"/>
    </font>
    <font>
      <sz val="11"/>
      <color theme="1"/>
      <name val="新細明體"/>
      <family val="1"/>
      <charset val="136"/>
      <scheme val="minor"/>
    </font>
  </fonts>
  <fills count="4">
    <fill>
      <patternFill patternType="none"/>
    </fill>
    <fill>
      <patternFill patternType="gray125"/>
    </fill>
    <fill>
      <patternFill patternType="solid">
        <fgColor rgb="FFC6EFCE"/>
      </patternFill>
    </fill>
    <fill>
      <patternFill patternType="solid">
        <fgColor rgb="FFFFFFCC"/>
      </patternFill>
    </fill>
  </fills>
  <borders count="27">
    <border>
      <left/>
      <right/>
      <top/>
      <bottom/>
      <diagonal/>
    </border>
    <border>
      <left style="thin">
        <color rgb="FFB2B2B2"/>
      </left>
      <right style="thin">
        <color rgb="FFB2B2B2"/>
      </right>
      <top style="thin">
        <color rgb="FFB2B2B2"/>
      </top>
      <bottom style="thin">
        <color rgb="FFB2B2B2"/>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auto="1"/>
      </left>
      <right style="thin">
        <color auto="1"/>
      </right>
      <top style="thin">
        <color auto="1"/>
      </top>
      <bottom style="thin">
        <color auto="1"/>
      </bottom>
      <diagonal/>
    </border>
    <border>
      <left/>
      <right style="thin">
        <color rgb="FFB2B2B2"/>
      </right>
      <top style="thin">
        <color rgb="FFB2B2B2"/>
      </top>
      <bottom style="thin">
        <color rgb="FFB2B2B2"/>
      </bottom>
      <diagonal/>
    </border>
    <border>
      <left/>
      <right style="thin">
        <color indexed="64"/>
      </right>
      <top/>
      <bottom/>
      <diagonal/>
    </border>
    <border>
      <left/>
      <right/>
      <top/>
      <bottom style="thin">
        <color indexed="64"/>
      </bottom>
      <diagonal/>
    </border>
    <border>
      <left/>
      <right style="thin">
        <color indexed="64"/>
      </right>
      <top/>
      <bottom style="thin">
        <color indexed="64"/>
      </bottom>
      <diagonal/>
    </border>
    <border>
      <left style="thin">
        <color auto="1"/>
      </left>
      <right style="thin">
        <color auto="1"/>
      </right>
      <top/>
      <bottom style="thin">
        <color auto="1"/>
      </bottom>
      <diagonal/>
    </border>
    <border>
      <left style="medium">
        <color indexed="64"/>
      </left>
      <right/>
      <top/>
      <bottom/>
      <diagonal/>
    </border>
    <border>
      <left/>
      <right style="medium">
        <color indexed="64"/>
      </right>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s>
  <cellStyleXfs count="3">
    <xf numFmtId="0" fontId="0" fillId="0" borderId="0"/>
    <xf numFmtId="43" fontId="1" fillId="0" borderId="0" applyFont="0" applyFill="0" applyBorder="0" applyAlignment="0" applyProtection="0">
      <alignment vertical="center"/>
    </xf>
    <xf numFmtId="0" fontId="2" fillId="2" borderId="0" applyNumberFormat="0" applyBorder="0" applyAlignment="0" applyProtection="0">
      <alignment vertical="center"/>
    </xf>
  </cellStyleXfs>
  <cellXfs count="37">
    <xf numFmtId="0" fontId="0" fillId="0" borderId="0" xfId="0"/>
    <xf numFmtId="0" fontId="3" fillId="0" borderId="0" xfId="0" applyFont="1"/>
    <xf numFmtId="0" fontId="5" fillId="2" borderId="0" xfId="2" applyFont="1" applyAlignment="1"/>
    <xf numFmtId="177" fontId="6" fillId="3" borderId="1" xfId="1" applyNumberFormat="1" applyFont="1" applyFill="1" applyBorder="1" applyAlignment="1"/>
    <xf numFmtId="0" fontId="5" fillId="2" borderId="0" xfId="2" applyFont="1" applyAlignment="1">
      <alignment horizontal="center"/>
    </xf>
    <xf numFmtId="0" fontId="3" fillId="0" borderId="3" xfId="0" applyFont="1" applyBorder="1"/>
    <xf numFmtId="0" fontId="3" fillId="0" borderId="4" xfId="0" applyFont="1" applyBorder="1"/>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177" fontId="6" fillId="3" borderId="10" xfId="1" applyNumberFormat="1" applyFont="1" applyFill="1" applyBorder="1" applyAlignment="1"/>
    <xf numFmtId="0" fontId="0" fillId="0" borderId="0" xfId="0" applyBorder="1"/>
    <xf numFmtId="0" fontId="0" fillId="0" borderId="11" xfId="0" applyBorder="1"/>
    <xf numFmtId="0" fontId="0" fillId="0" borderId="12" xfId="0" applyBorder="1"/>
    <xf numFmtId="0" fontId="0" fillId="0" borderId="13" xfId="0" applyBorder="1"/>
    <xf numFmtId="0" fontId="8" fillId="0" borderId="0" xfId="0" applyFont="1" applyAlignment="1">
      <alignment horizontal="right"/>
    </xf>
    <xf numFmtId="0" fontId="8" fillId="0" borderId="0" xfId="0" applyFont="1"/>
    <xf numFmtId="0" fontId="8" fillId="0" borderId="9" xfId="0" applyFont="1" applyBorder="1" applyAlignment="1">
      <alignment horizontal="center" vertical="top"/>
    </xf>
    <xf numFmtId="0" fontId="8" fillId="0" borderId="14" xfId="0" applyFont="1" applyBorder="1" applyAlignment="1">
      <alignment horizontal="center" vertical="top"/>
    </xf>
    <xf numFmtId="0" fontId="8" fillId="0" borderId="15" xfId="0" applyFont="1" applyBorder="1"/>
    <xf numFmtId="0" fontId="0" fillId="0" borderId="16" xfId="0" applyBorder="1"/>
    <xf numFmtId="0" fontId="8" fillId="0" borderId="17" xfId="0" applyFont="1" applyBorder="1" applyAlignment="1">
      <alignment horizontal="center" vertical="top"/>
    </xf>
    <xf numFmtId="0" fontId="7" fillId="0" borderId="18" xfId="0" applyFont="1" applyBorder="1" applyAlignment="1">
      <alignment horizontal="center" vertical="top"/>
    </xf>
    <xf numFmtId="0" fontId="7" fillId="0" borderId="19" xfId="0" applyFont="1" applyBorder="1" applyAlignment="1">
      <alignment horizontal="center" vertical="top"/>
    </xf>
    <xf numFmtId="0" fontId="3" fillId="0" borderId="20" xfId="0" applyFont="1" applyBorder="1"/>
    <xf numFmtId="0" fontId="0" fillId="0" borderId="21" xfId="0" applyBorder="1"/>
    <xf numFmtId="0" fontId="3" fillId="0" borderId="2" xfId="0" applyFont="1" applyBorder="1" applyAlignment="1">
      <alignment horizontal="center"/>
    </xf>
    <xf numFmtId="0" fontId="3" fillId="0" borderId="0" xfId="0" applyFont="1" applyBorder="1"/>
    <xf numFmtId="0" fontId="3" fillId="0" borderId="22" xfId="0" applyFont="1" applyBorder="1" applyAlignment="1">
      <alignment horizontal="center"/>
    </xf>
    <xf numFmtId="0" fontId="3" fillId="0" borderId="23" xfId="0" applyFont="1" applyBorder="1"/>
    <xf numFmtId="0" fontId="0" fillId="0" borderId="23" xfId="0" applyBorder="1"/>
    <xf numFmtId="0" fontId="0" fillId="0" borderId="24" xfId="0" applyBorder="1"/>
    <xf numFmtId="0" fontId="3" fillId="0" borderId="25" xfId="0" applyFont="1" applyBorder="1" applyAlignment="1">
      <alignment horizontal="center"/>
    </xf>
    <xf numFmtId="0" fontId="3" fillId="0" borderId="26" xfId="0" applyFont="1" applyBorder="1" applyAlignment="1">
      <alignment horizontal="center"/>
    </xf>
    <xf numFmtId="0" fontId="3" fillId="0" borderId="12" xfId="0" applyFont="1" applyBorder="1"/>
  </cellXfs>
  <cellStyles count="3">
    <cellStyle name="一般" xfId="0" builtinId="0"/>
    <cellStyle name="千分位" xfId="1" builtinId="3"/>
    <cellStyle name="好" xfId="2" builtinId="26"/>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5" Type="http://schemas.openxmlformats.org/officeDocument/2006/relationships/calcChain" Target="calcChain.xml"/><Relationship Id="rId4" Type="http://schemas.openxmlformats.org/officeDocument/2006/relationships/sharedStrings" Target="sharedStrings.xml"/></Relationships>
</file>

<file path=xl/drawings/drawing1.xml><?xml version="1.0" encoding="utf-8"?>
<xdr:wsDr xmlns:xdr="http://schemas.openxmlformats.org/drawingml/2006/spreadsheetDrawing" xmlns:a="http://schemas.openxmlformats.org/drawingml/2006/main">
  <xdr:twoCellAnchor>
    <xdr:from>
      <xdr:col>76</xdr:col>
      <xdr:colOff>1543050</xdr:colOff>
      <xdr:row>1</xdr:row>
      <xdr:rowOff>114300</xdr:rowOff>
    </xdr:from>
    <xdr:to>
      <xdr:col>80</xdr:col>
      <xdr:colOff>28575</xdr:colOff>
      <xdr:row>8</xdr:row>
      <xdr:rowOff>133350</xdr:rowOff>
    </xdr:to>
    <xdr:cxnSp macro="">
      <xdr:nvCxnSpPr>
        <xdr:cNvPr id="3" name="接點: 肘形 2">
          <a:extLst>
            <a:ext uri="{FF2B5EF4-FFF2-40B4-BE49-F238E27FC236}">
              <a16:creationId xmlns:a16="http://schemas.microsoft.com/office/drawing/2014/main" id="{F0187DC0-4847-E0C6-36BE-4A796D5CE17D}"/>
            </a:ext>
          </a:extLst>
        </xdr:cNvPr>
        <xdr:cNvCxnSpPr/>
      </xdr:nvCxnSpPr>
      <xdr:spPr>
        <a:xfrm flipV="1">
          <a:off x="50415825" y="323850"/>
          <a:ext cx="3848100" cy="1457325"/>
        </a:xfrm>
        <a:prstGeom prst="bentConnector3">
          <a:avLst>
            <a:gd name="adj1" fmla="val 115842"/>
          </a:avLst>
        </a:prstGeom>
        <a:ln w="57150">
          <a:headEnd type="non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79</xdr:col>
      <xdr:colOff>9525</xdr:colOff>
      <xdr:row>1</xdr:row>
      <xdr:rowOff>209550</xdr:rowOff>
    </xdr:from>
    <xdr:to>
      <xdr:col>80</xdr:col>
      <xdr:colOff>38100</xdr:colOff>
      <xdr:row>3</xdr:row>
      <xdr:rowOff>19050</xdr:rowOff>
    </xdr:to>
    <xdr:sp macro="" textlink="">
      <xdr:nvSpPr>
        <xdr:cNvPr id="9" name="矩形 8">
          <a:extLst>
            <a:ext uri="{FF2B5EF4-FFF2-40B4-BE49-F238E27FC236}">
              <a16:creationId xmlns:a16="http://schemas.microsoft.com/office/drawing/2014/main" id="{75465E4B-38E5-02B5-81B0-0BAEA107AE61}"/>
            </a:ext>
          </a:extLst>
        </xdr:cNvPr>
        <xdr:cNvSpPr/>
      </xdr:nvSpPr>
      <xdr:spPr>
        <a:xfrm>
          <a:off x="53463825" y="419100"/>
          <a:ext cx="809625" cy="238125"/>
        </a:xfrm>
        <a:prstGeom prst="rect">
          <a:avLst/>
        </a:prstGeom>
        <a:noFill/>
        <a:ln>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TW" altLang="en-US" sz="1100"/>
        </a:p>
      </xdr:txBody>
    </xdr:sp>
    <xdr:clientData/>
  </xdr:twoCellAnchor>
  <xdr:oneCellAnchor>
    <xdr:from>
      <xdr:col>76</xdr:col>
      <xdr:colOff>2590800</xdr:colOff>
      <xdr:row>8</xdr:row>
      <xdr:rowOff>142875</xdr:rowOff>
    </xdr:from>
    <xdr:ext cx="4083554" cy="492827"/>
    <xdr:sp macro="" textlink="">
      <xdr:nvSpPr>
        <xdr:cNvPr id="12" name="文字方塊 11">
          <a:extLst>
            <a:ext uri="{FF2B5EF4-FFF2-40B4-BE49-F238E27FC236}">
              <a16:creationId xmlns:a16="http://schemas.microsoft.com/office/drawing/2014/main" id="{1EA69707-400D-2C2D-5B59-FA7E1E24EDB1}"/>
            </a:ext>
          </a:extLst>
        </xdr:cNvPr>
        <xdr:cNvSpPr txBox="1"/>
      </xdr:nvSpPr>
      <xdr:spPr>
        <a:xfrm>
          <a:off x="51463575" y="1790700"/>
          <a:ext cx="4083554" cy="492827"/>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TW" sz="1200" b="1">
              <a:solidFill>
                <a:srgbClr val="0070C0"/>
              </a:solidFill>
            </a:rPr>
            <a:t>6 / 9 Company Profile</a:t>
          </a:r>
          <a:r>
            <a:rPr lang="zh-TW" altLang="en-US" sz="1200" b="1">
              <a:solidFill>
                <a:srgbClr val="0070C0"/>
              </a:solidFill>
            </a:rPr>
            <a:t>  取得</a:t>
          </a:r>
          <a:r>
            <a:rPr lang="en-US" altLang="zh-TW" sz="1200" b="1">
              <a:solidFill>
                <a:srgbClr val="0070C0"/>
              </a:solidFill>
            </a:rPr>
            <a:t>"Financial Currency"</a:t>
          </a:r>
          <a:r>
            <a:rPr lang="zh-TW" altLang="en-US" sz="1200" b="1">
              <a:solidFill>
                <a:srgbClr val="0070C0"/>
              </a:solidFill>
            </a:rPr>
            <a:t>為加幣</a:t>
          </a:r>
          <a:r>
            <a:rPr lang="en-US" altLang="zh-TW" sz="1200" b="1">
              <a:solidFill>
                <a:srgbClr val="0070C0"/>
              </a:solidFill>
            </a:rPr>
            <a:t>(CAD)</a:t>
          </a:r>
        </a:p>
        <a:p>
          <a:r>
            <a:rPr lang="zh-TW" altLang="en-US" sz="1200" b="1">
              <a:solidFill>
                <a:srgbClr val="FF0000"/>
              </a:solidFill>
            </a:rPr>
            <a:t>再帶入</a:t>
          </a:r>
          <a:r>
            <a:rPr lang="en-US" altLang="zh-TW" sz="1200" b="1">
              <a:solidFill>
                <a:srgbClr val="FF0000"/>
              </a:solidFill>
            </a:rPr>
            <a:t>7 / 9 Foreign exchange rate</a:t>
          </a:r>
          <a:r>
            <a:rPr lang="zh-TW" altLang="en-US" sz="1200" b="1">
              <a:solidFill>
                <a:srgbClr val="FF0000"/>
              </a:solidFill>
            </a:rPr>
            <a:t> 得到</a:t>
          </a:r>
          <a:r>
            <a:rPr lang="en-US" altLang="zh-TW" sz="1200" b="1">
              <a:solidFill>
                <a:srgbClr val="FF0000"/>
              </a:solidFill>
            </a:rPr>
            <a:t>USD/CAD = 1.3654</a:t>
          </a:r>
          <a:endParaRPr lang="zh-TW" altLang="en-US" sz="1200" b="1">
            <a:solidFill>
              <a:srgbClr val="FF0000"/>
            </a:solidFill>
          </a:endParaRPr>
        </a:p>
      </xdr:txBody>
    </xdr:sp>
    <xdr:clientData/>
  </xdr:oneCellAnchor>
  <xdr:oneCellAnchor>
    <xdr:from>
      <xdr:col>1</xdr:col>
      <xdr:colOff>476250</xdr:colOff>
      <xdr:row>2</xdr:row>
      <xdr:rowOff>85725</xdr:rowOff>
    </xdr:from>
    <xdr:ext cx="5060616" cy="392736"/>
    <xdr:sp macro="" textlink="">
      <xdr:nvSpPr>
        <xdr:cNvPr id="13" name="文字方塊 12">
          <a:extLst>
            <a:ext uri="{FF2B5EF4-FFF2-40B4-BE49-F238E27FC236}">
              <a16:creationId xmlns:a16="http://schemas.microsoft.com/office/drawing/2014/main" id="{54B10A17-1AE5-2FEE-220C-514EB1563C7B}"/>
            </a:ext>
          </a:extLst>
        </xdr:cNvPr>
        <xdr:cNvSpPr txBox="1"/>
      </xdr:nvSpPr>
      <xdr:spPr>
        <a:xfrm>
          <a:off x="1085850" y="514350"/>
          <a:ext cx="5060616" cy="39273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TW" sz="1800">
              <a:solidFill>
                <a:srgbClr val="0070C0"/>
              </a:solidFill>
            </a:rPr>
            <a:t>1.</a:t>
          </a:r>
          <a:r>
            <a:rPr lang="zh-TW" altLang="en-US" sz="1800">
              <a:solidFill>
                <a:srgbClr val="0070C0"/>
              </a:solidFill>
            </a:rPr>
            <a:t> </a:t>
          </a:r>
          <a:r>
            <a:rPr lang="en-US" altLang="zh-TW" sz="1800">
              <a:solidFill>
                <a:srgbClr val="0070C0"/>
              </a:solidFill>
            </a:rPr>
            <a:t>A2</a:t>
          </a:r>
          <a:r>
            <a:rPr lang="zh-TW" altLang="en-US" sz="1800">
              <a:solidFill>
                <a:srgbClr val="0070C0"/>
              </a:solidFill>
            </a:rPr>
            <a:t>欄位輸入欲查詢之股票</a:t>
          </a:r>
          <a:r>
            <a:rPr lang="en-US" altLang="zh-TW" sz="1800">
              <a:solidFill>
                <a:srgbClr val="0070C0"/>
              </a:solidFill>
            </a:rPr>
            <a:t>CM</a:t>
          </a:r>
          <a:r>
            <a:rPr lang="zh-TW" altLang="en-US" sz="1800">
              <a:solidFill>
                <a:srgbClr val="0070C0"/>
              </a:solidFill>
            </a:rPr>
            <a:t> </a:t>
          </a:r>
          <a:r>
            <a:rPr lang="en-US" altLang="zh-TW" sz="1800">
              <a:solidFill>
                <a:srgbClr val="0070C0"/>
              </a:solidFill>
            </a:rPr>
            <a:t>(FMP</a:t>
          </a:r>
          <a:r>
            <a:rPr lang="zh-TW" altLang="en-US" sz="1800">
              <a:solidFill>
                <a:srgbClr val="0070C0"/>
              </a:solidFill>
            </a:rPr>
            <a:t>僅提供美股</a:t>
          </a:r>
          <a:r>
            <a:rPr lang="en-US" altLang="zh-TW" sz="1800">
              <a:solidFill>
                <a:srgbClr val="0070C0"/>
              </a:solidFill>
            </a:rPr>
            <a:t>)</a:t>
          </a:r>
          <a:endParaRPr lang="zh-TW" altLang="en-US" sz="1800">
            <a:solidFill>
              <a:srgbClr val="0070C0"/>
            </a:solidFill>
          </a:endParaRPr>
        </a:p>
      </xdr:txBody>
    </xdr:sp>
    <xdr:clientData/>
  </xdr:oneCellAnchor>
  <xdr:oneCellAnchor>
    <xdr:from>
      <xdr:col>12</xdr:col>
      <xdr:colOff>0</xdr:colOff>
      <xdr:row>9</xdr:row>
      <xdr:rowOff>28575</xdr:rowOff>
    </xdr:from>
    <xdr:ext cx="9134475" cy="2476960"/>
    <xdr:sp macro="" textlink="">
      <xdr:nvSpPr>
        <xdr:cNvPr id="14" name="文字方塊 13">
          <a:extLst>
            <a:ext uri="{FF2B5EF4-FFF2-40B4-BE49-F238E27FC236}">
              <a16:creationId xmlns:a16="http://schemas.microsoft.com/office/drawing/2014/main" id="{0FC657A5-1D6E-4C9F-836E-C2D27BAFA319}"/>
            </a:ext>
          </a:extLst>
        </xdr:cNvPr>
        <xdr:cNvSpPr txBox="1"/>
      </xdr:nvSpPr>
      <xdr:spPr>
        <a:xfrm>
          <a:off x="7315200" y="1885950"/>
          <a:ext cx="9134475" cy="24769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altLang="zh-TW" sz="1800">
              <a:solidFill>
                <a:srgbClr val="0070C0"/>
              </a:solidFill>
            </a:rPr>
            <a:t>2.</a:t>
          </a:r>
          <a:r>
            <a:rPr lang="zh-TW" altLang="en-US" sz="1800">
              <a:solidFill>
                <a:srgbClr val="0070C0"/>
              </a:solidFill>
            </a:rPr>
            <a:t> </a:t>
          </a:r>
          <a:r>
            <a:rPr lang="en-US" altLang="zh-TW" sz="1800">
              <a:solidFill>
                <a:srgbClr val="0070C0"/>
              </a:solidFill>
            </a:rPr>
            <a:t>AE</a:t>
          </a:r>
          <a:r>
            <a:rPr lang="zh-TW" altLang="en-US" sz="1800">
              <a:solidFill>
                <a:srgbClr val="0070C0"/>
              </a:solidFill>
            </a:rPr>
            <a:t>欄位開始循透過</a:t>
          </a:r>
          <a:r>
            <a:rPr lang="en-US" altLang="zh-TW" sz="1800">
              <a:solidFill>
                <a:srgbClr val="0070C0"/>
              </a:solidFill>
            </a:rPr>
            <a:t>FMP API</a:t>
          </a:r>
          <a:r>
            <a:rPr lang="zh-TW" altLang="en-US" sz="1800">
              <a:solidFill>
                <a:srgbClr val="0070C0"/>
              </a:solidFill>
            </a:rPr>
            <a:t>循序</a:t>
          </a:r>
          <a:r>
            <a:rPr lang="en-US" altLang="zh-TW" sz="1800">
              <a:solidFill>
                <a:srgbClr val="0070C0"/>
              </a:solidFill>
            </a:rPr>
            <a:t>(1/9---&gt;9/9)</a:t>
          </a:r>
          <a:r>
            <a:rPr lang="zh-TW" altLang="en-US" sz="1800">
              <a:solidFill>
                <a:srgbClr val="0070C0"/>
              </a:solidFill>
            </a:rPr>
            <a:t>抓取輸入欲查詢之股票</a:t>
          </a:r>
          <a:r>
            <a:rPr lang="en-US" altLang="zh-TW" sz="1800">
              <a:solidFill>
                <a:srgbClr val="0070C0"/>
              </a:solidFill>
            </a:rPr>
            <a:t>CM</a:t>
          </a:r>
          <a:r>
            <a:rPr lang="zh-TW" altLang="en-US" sz="1800">
              <a:solidFill>
                <a:srgbClr val="0070C0"/>
              </a:solidFill>
            </a:rPr>
            <a:t> </a:t>
          </a:r>
          <a:r>
            <a:rPr lang="en-US" altLang="zh-TW" sz="1800">
              <a:solidFill>
                <a:srgbClr val="0070C0"/>
              </a:solidFill>
            </a:rPr>
            <a:t>5</a:t>
          </a:r>
          <a:r>
            <a:rPr lang="zh-TW" altLang="en-US" sz="1800">
              <a:solidFill>
                <a:srgbClr val="0070C0"/>
              </a:solidFill>
            </a:rPr>
            <a:t>頁財報（年</a:t>
          </a:r>
          <a:r>
            <a:rPr lang="en-US" altLang="zh-TW" sz="1800">
              <a:solidFill>
                <a:srgbClr val="0070C0"/>
              </a:solidFill>
            </a:rPr>
            <a:t>/</a:t>
          </a:r>
          <a:r>
            <a:rPr lang="zh-TW" altLang="en-US" sz="1800">
              <a:solidFill>
                <a:srgbClr val="0070C0"/>
              </a:solidFill>
            </a:rPr>
            <a:t>季 損益表</a:t>
          </a:r>
          <a:r>
            <a:rPr lang="en-US" altLang="zh-TW" sz="1800">
              <a:solidFill>
                <a:srgbClr val="0070C0"/>
              </a:solidFill>
            </a:rPr>
            <a:t>+</a:t>
          </a:r>
          <a:r>
            <a:rPr lang="zh-TW" altLang="en-US" sz="1800">
              <a:solidFill>
                <a:srgbClr val="0070C0"/>
              </a:solidFill>
            </a:rPr>
            <a:t>年</a:t>
          </a:r>
          <a:r>
            <a:rPr lang="en-US" altLang="zh-TW" sz="1800">
              <a:solidFill>
                <a:srgbClr val="0070C0"/>
              </a:solidFill>
            </a:rPr>
            <a:t>/</a:t>
          </a:r>
          <a:r>
            <a:rPr lang="zh-TW" altLang="en-US" sz="1800">
              <a:solidFill>
                <a:srgbClr val="0070C0"/>
              </a:solidFill>
            </a:rPr>
            <a:t>季 資產負債表</a:t>
          </a:r>
          <a:r>
            <a:rPr lang="en-US" altLang="zh-TW" sz="1800">
              <a:solidFill>
                <a:srgbClr val="0070C0"/>
              </a:solidFill>
            </a:rPr>
            <a:t>+</a:t>
          </a:r>
          <a:r>
            <a:rPr lang="zh-TW" altLang="en-US" sz="1800">
              <a:solidFill>
                <a:srgbClr val="0070C0"/>
              </a:solidFill>
            </a:rPr>
            <a:t>年現金</a:t>
          </a:r>
          <a:r>
            <a:rPr lang="zh-TW" altLang="en-US" sz="1800">
              <a:solidFill>
                <a:srgbClr val="0070C0"/>
              </a:solidFill>
              <a:latin typeface="+mn-lt"/>
              <a:ea typeface="+mn-ea"/>
              <a:cs typeface="+mn-cs"/>
            </a:rPr>
            <a:t>流量表）。</a:t>
          </a:r>
          <a:r>
            <a:rPr lang="en-US" altLang="zh-TW" sz="1800">
              <a:solidFill>
                <a:srgbClr val="0070C0"/>
              </a:solidFill>
              <a:latin typeface="+mn-lt"/>
              <a:ea typeface="+mn-ea"/>
              <a:cs typeface="+mn-cs"/>
            </a:rPr>
            <a:t>PS: </a:t>
          </a:r>
          <a:r>
            <a:rPr lang="zh-TW" altLang="en-US" sz="1800">
              <a:solidFill>
                <a:srgbClr val="0070C0"/>
              </a:solidFill>
              <a:latin typeface="+mn-lt"/>
              <a:ea typeface="+mn-ea"/>
              <a:cs typeface="+mn-cs"/>
            </a:rPr>
            <a:t>近</a:t>
          </a:r>
          <a:r>
            <a:rPr lang="en-US" altLang="zh-TW" sz="1800">
              <a:solidFill>
                <a:srgbClr val="0070C0"/>
              </a:solidFill>
              <a:latin typeface="+mn-lt"/>
              <a:ea typeface="+mn-ea"/>
              <a:cs typeface="+mn-cs"/>
            </a:rPr>
            <a:t>5</a:t>
          </a:r>
          <a:r>
            <a:rPr lang="zh-TW" altLang="en-US" sz="1800">
              <a:solidFill>
                <a:srgbClr val="0070C0"/>
              </a:solidFill>
              <a:latin typeface="+mn-lt"/>
              <a:ea typeface="+mn-ea"/>
              <a:cs typeface="+mn-cs"/>
            </a:rPr>
            <a:t>年 和 </a:t>
          </a:r>
          <a:r>
            <a:rPr lang="en-US" altLang="zh-TW" sz="1800">
              <a:solidFill>
                <a:srgbClr val="0070C0"/>
              </a:solidFill>
              <a:latin typeface="+mn-lt"/>
              <a:ea typeface="+mn-ea"/>
              <a:cs typeface="+mn-cs"/>
            </a:rPr>
            <a:t>5</a:t>
          </a:r>
          <a:r>
            <a:rPr lang="zh-TW" altLang="en-US" sz="1800">
              <a:solidFill>
                <a:srgbClr val="0070C0"/>
              </a:solidFill>
              <a:latin typeface="+mn-lt"/>
              <a:ea typeface="+mn-ea"/>
              <a:cs typeface="+mn-cs"/>
            </a:rPr>
            <a:t>季資料</a:t>
          </a:r>
          <a:endParaRPr lang="en-US" altLang="zh-TW" sz="1800">
            <a:solidFill>
              <a:srgbClr val="0070C0"/>
            </a:solidFill>
            <a:latin typeface="+mn-lt"/>
            <a:ea typeface="+mn-ea"/>
            <a:cs typeface="+mn-cs"/>
          </a:endParaRPr>
        </a:p>
        <a:p>
          <a:r>
            <a:rPr lang="en-US" altLang="zh-TW" sz="1800">
              <a:solidFill>
                <a:srgbClr val="0070C0"/>
              </a:solidFill>
              <a:latin typeface="+mn-lt"/>
              <a:ea typeface="+mn-ea"/>
              <a:cs typeface="+mn-cs"/>
            </a:rPr>
            <a:t>3. </a:t>
          </a:r>
          <a:r>
            <a:rPr lang="zh-TW" altLang="en-US" sz="1800">
              <a:solidFill>
                <a:srgbClr val="0070C0"/>
              </a:solidFill>
              <a:latin typeface="+mn-lt"/>
              <a:ea typeface="+mn-ea"/>
              <a:cs typeface="+mn-cs"/>
            </a:rPr>
            <a:t>第五頁歷史股價，由最近在上排列</a:t>
          </a:r>
          <a:r>
            <a:rPr lang="zh-TW" altLang="zh-TW" sz="1800">
              <a:solidFill>
                <a:srgbClr val="0070C0"/>
              </a:solidFill>
              <a:latin typeface="+mn-lt"/>
              <a:ea typeface="+mn-ea"/>
              <a:cs typeface="+mn-cs"/>
            </a:rPr>
            <a:t>到</a:t>
          </a:r>
          <a:r>
            <a:rPr lang="zh-TW" altLang="en-US" sz="1800">
              <a:solidFill>
                <a:srgbClr val="0070C0"/>
              </a:solidFill>
            </a:rPr>
            <a:t>最後</a:t>
          </a:r>
          <a:r>
            <a:rPr lang="en-US" altLang="zh-TW" sz="1800">
              <a:solidFill>
                <a:srgbClr val="0070C0"/>
              </a:solidFill>
            </a:rPr>
            <a:t>2014/0/01</a:t>
          </a:r>
        </a:p>
        <a:p>
          <a:r>
            <a:rPr lang="zh-TW" altLang="en-US" sz="1800">
              <a:solidFill>
                <a:srgbClr val="0070C0"/>
              </a:solidFill>
            </a:rPr>
            <a:t>     </a:t>
          </a:r>
          <a:r>
            <a:rPr lang="en-US" altLang="zh-TW" sz="1800">
              <a:solidFill>
                <a:srgbClr val="0070C0"/>
              </a:solidFill>
            </a:rPr>
            <a:t>PS:</a:t>
          </a:r>
          <a:r>
            <a:rPr lang="zh-TW" altLang="en-US" sz="1800">
              <a:solidFill>
                <a:srgbClr val="0070C0"/>
              </a:solidFill>
            </a:rPr>
            <a:t>需含有</a:t>
          </a:r>
          <a:r>
            <a:rPr lang="en-US" altLang="zh-TW" sz="1800">
              <a:solidFill>
                <a:srgbClr val="0070C0"/>
              </a:solidFill>
            </a:rPr>
            <a:t>adj</a:t>
          </a:r>
          <a:r>
            <a:rPr lang="zh-TW" altLang="en-US" sz="1800">
              <a:solidFill>
                <a:srgbClr val="0070C0"/>
              </a:solidFill>
              <a:latin typeface="+mn-lt"/>
              <a:ea typeface="+mn-ea"/>
              <a:cs typeface="+mn-cs"/>
            </a:rPr>
            <a:t>之</a:t>
          </a:r>
          <a:r>
            <a:rPr lang="en-US" altLang="zh-TW" sz="1800">
              <a:solidFill>
                <a:srgbClr val="0070C0"/>
              </a:solidFill>
              <a:latin typeface="+mn-lt"/>
              <a:ea typeface="+mn-ea"/>
              <a:cs typeface="+mn-cs"/>
            </a:rPr>
            <a:t>Dividends</a:t>
          </a:r>
          <a:r>
            <a:rPr lang="zh-TW" altLang="en-US" sz="1800">
              <a:solidFill>
                <a:srgbClr val="0070C0"/>
              </a:solidFill>
              <a:latin typeface="+mn-lt"/>
              <a:ea typeface="+mn-ea"/>
              <a:cs typeface="+mn-cs"/>
            </a:rPr>
            <a:t>和</a:t>
          </a:r>
          <a:r>
            <a:rPr lang="en-US" altLang="zh-TW" sz="1800">
              <a:solidFill>
                <a:srgbClr val="0070C0"/>
              </a:solidFill>
              <a:latin typeface="+mn-lt"/>
              <a:ea typeface="+mn-ea"/>
              <a:cs typeface="+mn-cs"/>
            </a:rPr>
            <a:t> Stock Splits </a:t>
          </a:r>
          <a:r>
            <a:rPr lang="zh-TW" altLang="en-US" sz="1800">
              <a:solidFill>
                <a:srgbClr val="0070C0"/>
              </a:solidFill>
              <a:latin typeface="+mn-lt"/>
              <a:ea typeface="+mn-ea"/>
              <a:cs typeface="+mn-cs"/>
            </a:rPr>
            <a:t>之數據</a:t>
          </a:r>
          <a:endParaRPr lang="en-US" altLang="zh-TW" sz="1800">
            <a:solidFill>
              <a:srgbClr val="0070C0"/>
            </a:solidFill>
            <a:latin typeface="+mn-lt"/>
            <a:ea typeface="+mn-ea"/>
            <a:cs typeface="+mn-cs"/>
          </a:endParaRPr>
        </a:p>
        <a:p>
          <a:r>
            <a:rPr lang="en-US" altLang="zh-TW" sz="1800">
              <a:solidFill>
                <a:srgbClr val="0070C0"/>
              </a:solidFill>
            </a:rPr>
            <a:t>4. </a:t>
          </a:r>
          <a:r>
            <a:rPr lang="zh-TW" altLang="en-US" sz="1800">
              <a:solidFill>
                <a:srgbClr val="0070C0"/>
              </a:solidFill>
            </a:rPr>
            <a:t>第六頁公司資料（含市值</a:t>
          </a:r>
          <a:r>
            <a:rPr lang="zh-TW" altLang="en-US" sz="1800">
              <a:solidFill>
                <a:srgbClr val="0070C0"/>
              </a:solidFill>
              <a:latin typeface="+mn-lt"/>
              <a:ea typeface="+mn-ea"/>
              <a:cs typeface="+mn-cs"/>
            </a:rPr>
            <a:t>）並</a:t>
          </a:r>
          <a:r>
            <a:rPr lang="zh-TW" altLang="zh-TW" sz="1800">
              <a:solidFill>
                <a:srgbClr val="0070C0"/>
              </a:solidFill>
              <a:latin typeface="+mn-lt"/>
              <a:ea typeface="+mn-ea"/>
              <a:cs typeface="+mn-cs"/>
            </a:rPr>
            <a:t>取得第六頁</a:t>
          </a:r>
          <a:r>
            <a:rPr lang="en-US" altLang="zh-TW" sz="1800">
              <a:solidFill>
                <a:srgbClr val="0070C0"/>
              </a:solidFill>
              <a:latin typeface="+mn-lt"/>
              <a:ea typeface="+mn-ea"/>
              <a:cs typeface="+mn-cs"/>
            </a:rPr>
            <a:t>Financial Currency</a:t>
          </a:r>
          <a:r>
            <a:rPr lang="zh-TW" altLang="zh-TW" sz="1800">
              <a:solidFill>
                <a:srgbClr val="0070C0"/>
              </a:solidFill>
              <a:latin typeface="+mn-lt"/>
              <a:ea typeface="+mn-ea"/>
              <a:cs typeface="+mn-cs"/>
            </a:rPr>
            <a:t> 之代碼</a:t>
          </a:r>
          <a:r>
            <a:rPr lang="en-US" altLang="zh-TW" sz="1800">
              <a:solidFill>
                <a:srgbClr val="0070C0"/>
              </a:solidFill>
              <a:latin typeface="+mn-lt"/>
              <a:ea typeface="+mn-ea"/>
              <a:cs typeface="+mn-cs"/>
            </a:rPr>
            <a:t>(</a:t>
          </a:r>
          <a:r>
            <a:rPr lang="zh-TW" altLang="en-US" sz="1800">
              <a:solidFill>
                <a:srgbClr val="0070C0"/>
              </a:solidFill>
              <a:latin typeface="+mn-lt"/>
              <a:ea typeface="+mn-ea"/>
              <a:cs typeface="+mn-cs"/>
            </a:rPr>
            <a:t>本例是加股，所以為</a:t>
          </a:r>
          <a:r>
            <a:rPr lang="en-US" altLang="zh-TW" sz="1800">
              <a:solidFill>
                <a:srgbClr val="0070C0"/>
              </a:solidFill>
              <a:latin typeface="+mn-lt"/>
              <a:ea typeface="+mn-ea"/>
              <a:cs typeface="+mn-cs"/>
            </a:rPr>
            <a:t>CAD)</a:t>
          </a:r>
          <a:r>
            <a:rPr lang="zh-TW" altLang="en-US" sz="1800">
              <a:solidFill>
                <a:srgbClr val="0070C0"/>
              </a:solidFill>
              <a:latin typeface="+mn-lt"/>
              <a:ea typeface="+mn-ea"/>
              <a:cs typeface="+mn-cs"/>
            </a:rPr>
            <a:t>。</a:t>
          </a:r>
          <a:r>
            <a:rPr lang="en-US" altLang="zh-TW" sz="1800">
              <a:solidFill>
                <a:srgbClr val="0070C0"/>
              </a:solidFill>
              <a:latin typeface="+mn-lt"/>
              <a:ea typeface="+mn-ea"/>
              <a:cs typeface="+mn-cs"/>
            </a:rPr>
            <a:t>PS:(CM</a:t>
          </a:r>
          <a:r>
            <a:rPr lang="zh-TW" altLang="en-US" sz="1800">
              <a:solidFill>
                <a:srgbClr val="0070C0"/>
              </a:solidFill>
              <a:latin typeface="+mn-lt"/>
              <a:ea typeface="+mn-ea"/>
              <a:cs typeface="+mn-cs"/>
            </a:rPr>
            <a:t>是</a:t>
          </a:r>
          <a:r>
            <a:rPr lang="zh-TW" altLang="zh-TW" sz="1800">
              <a:solidFill>
                <a:srgbClr val="0070C0"/>
              </a:solidFill>
              <a:latin typeface="+mn-lt"/>
              <a:ea typeface="+mn-ea"/>
              <a:cs typeface="+mn-cs"/>
            </a:rPr>
            <a:t>於美股</a:t>
          </a:r>
          <a:r>
            <a:rPr lang="en-US" altLang="zh-TW" sz="1800">
              <a:solidFill>
                <a:srgbClr val="0070C0"/>
              </a:solidFill>
              <a:latin typeface="+mn-lt"/>
              <a:ea typeface="+mn-ea"/>
              <a:cs typeface="+mn-cs"/>
            </a:rPr>
            <a:t>OTC)</a:t>
          </a:r>
        </a:p>
        <a:p>
          <a:r>
            <a:rPr lang="zh-TW" altLang="en-US" sz="1800">
              <a:solidFill>
                <a:srgbClr val="0070C0"/>
              </a:solidFill>
              <a:latin typeface="+mn-lt"/>
              <a:ea typeface="+mn-ea"/>
              <a:cs typeface="+mn-cs"/>
            </a:rPr>
            <a:t>第七頁</a:t>
          </a:r>
          <a:r>
            <a:rPr lang="en-US" altLang="zh-TW" sz="1800">
              <a:solidFill>
                <a:srgbClr val="0070C0"/>
              </a:solidFill>
              <a:latin typeface="+mn-lt"/>
              <a:ea typeface="+mn-ea"/>
              <a:cs typeface="+mn-cs"/>
            </a:rPr>
            <a:t>(</a:t>
          </a:r>
          <a:r>
            <a:rPr lang="zh-TW" altLang="en-US" sz="1800">
              <a:solidFill>
                <a:srgbClr val="0070C0"/>
              </a:solidFill>
              <a:latin typeface="+mn-lt"/>
              <a:ea typeface="+mn-ea"/>
              <a:cs typeface="+mn-cs"/>
            </a:rPr>
            <a:t>匯率</a:t>
          </a:r>
          <a:r>
            <a:rPr lang="en-US" altLang="zh-TW" sz="1800">
              <a:solidFill>
                <a:srgbClr val="0070C0"/>
              </a:solidFill>
              <a:latin typeface="+mn-lt"/>
              <a:ea typeface="+mn-ea"/>
              <a:cs typeface="+mn-cs"/>
            </a:rPr>
            <a:t>)</a:t>
          </a:r>
          <a:r>
            <a:rPr lang="zh-TW" altLang="en-US" sz="1800">
              <a:solidFill>
                <a:srgbClr val="0070C0"/>
              </a:solidFill>
              <a:latin typeface="+mn-lt"/>
              <a:ea typeface="+mn-ea"/>
              <a:cs typeface="+mn-cs"/>
            </a:rPr>
            <a:t>。</a:t>
          </a:r>
          <a:r>
            <a:rPr lang="en-US" altLang="zh-TW" sz="1800">
              <a:solidFill>
                <a:srgbClr val="0070C0"/>
              </a:solidFill>
              <a:latin typeface="+mn-lt"/>
              <a:ea typeface="+mn-ea"/>
              <a:cs typeface="+mn-cs"/>
            </a:rPr>
            <a:t>PS:</a:t>
          </a:r>
          <a:r>
            <a:rPr lang="zh-TW" altLang="en-US" sz="1800">
              <a:solidFill>
                <a:srgbClr val="0070C0"/>
              </a:solidFill>
              <a:latin typeface="+mn-lt"/>
              <a:ea typeface="+mn-ea"/>
              <a:cs typeface="+mn-cs"/>
            </a:rPr>
            <a:t>匯率須先取得</a:t>
          </a:r>
          <a:r>
            <a:rPr lang="zh-TW" altLang="zh-TW" sz="1800">
              <a:solidFill>
                <a:srgbClr val="0070C0"/>
              </a:solidFill>
              <a:latin typeface="+mn-lt"/>
              <a:ea typeface="+mn-ea"/>
              <a:cs typeface="+mn-cs"/>
            </a:rPr>
            <a:t>第六頁</a:t>
          </a:r>
          <a:r>
            <a:rPr lang="en-US" altLang="zh-TW" sz="1800">
              <a:solidFill>
                <a:srgbClr val="0070C0"/>
              </a:solidFill>
            </a:rPr>
            <a:t>Financial Currency</a:t>
          </a:r>
          <a:r>
            <a:rPr lang="zh-TW" altLang="en-US" sz="1800">
              <a:solidFill>
                <a:srgbClr val="0070C0"/>
              </a:solidFill>
            </a:rPr>
            <a:t> 之代碼</a:t>
          </a:r>
          <a:r>
            <a:rPr lang="en-US" altLang="zh-TW" sz="1800">
              <a:solidFill>
                <a:srgbClr val="0070C0"/>
              </a:solidFill>
            </a:rPr>
            <a:t>(CAD)</a:t>
          </a:r>
          <a:r>
            <a:rPr lang="zh-TW" altLang="en-US" sz="1800">
              <a:solidFill>
                <a:srgbClr val="0070C0"/>
              </a:solidFill>
            </a:rPr>
            <a:t>後再帶入第七頁</a:t>
          </a:r>
          <a:r>
            <a:rPr lang="en-US" altLang="zh-TW" sz="1800">
              <a:solidFill>
                <a:srgbClr val="0070C0"/>
              </a:solidFill>
            </a:rPr>
            <a:t>(USD/CAD)</a:t>
          </a:r>
          <a:endParaRPr lang="zh-TW" altLang="en-US" sz="1800">
            <a:solidFill>
              <a:srgbClr val="0070C0"/>
            </a:solidFill>
          </a:endParaRPr>
        </a:p>
      </xdr:txBody>
    </xdr:sp>
    <xdr:clientData/>
  </xdr:oneCellAnchor>
  <xdr:oneCellAnchor>
    <xdr:from>
      <xdr:col>11</xdr:col>
      <xdr:colOff>590549</xdr:colOff>
      <xdr:row>21</xdr:row>
      <xdr:rowOff>76200</xdr:rowOff>
    </xdr:from>
    <xdr:ext cx="9153525" cy="993542"/>
    <xdr:sp macro="" textlink="">
      <xdr:nvSpPr>
        <xdr:cNvPr id="15" name="文字方塊 14">
          <a:extLst>
            <a:ext uri="{FF2B5EF4-FFF2-40B4-BE49-F238E27FC236}">
              <a16:creationId xmlns:a16="http://schemas.microsoft.com/office/drawing/2014/main" id="{1882A0EC-DEF3-4B24-BFA2-DC462B05C79A}"/>
            </a:ext>
          </a:extLst>
        </xdr:cNvPr>
        <xdr:cNvSpPr txBox="1"/>
      </xdr:nvSpPr>
      <xdr:spPr>
        <a:xfrm>
          <a:off x="7296149" y="4343400"/>
          <a:ext cx="9153525" cy="99354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altLang="zh-TW" sz="1800">
              <a:solidFill>
                <a:srgbClr val="0070C0"/>
              </a:solidFill>
            </a:rPr>
            <a:t>3.</a:t>
          </a:r>
          <a:r>
            <a:rPr lang="zh-TW" altLang="en-US" sz="1800">
              <a:solidFill>
                <a:srgbClr val="0070C0"/>
              </a:solidFill>
            </a:rPr>
            <a:t> 若是日股</a:t>
          </a:r>
          <a:r>
            <a:rPr lang="en-US" altLang="zh-TW" sz="1800">
              <a:solidFill>
                <a:srgbClr val="0070C0"/>
              </a:solidFill>
            </a:rPr>
            <a:t>(</a:t>
          </a:r>
          <a:r>
            <a:rPr lang="zh-TW" altLang="en-US" sz="1800">
              <a:solidFill>
                <a:srgbClr val="0070C0"/>
              </a:solidFill>
            </a:rPr>
            <a:t>於美股</a:t>
          </a:r>
          <a:r>
            <a:rPr lang="en-US" altLang="zh-TW" sz="1800">
              <a:solidFill>
                <a:srgbClr val="0070C0"/>
              </a:solidFill>
            </a:rPr>
            <a:t>OTC</a:t>
          </a:r>
          <a:r>
            <a:rPr lang="zh-TW" altLang="en-US" sz="1800">
              <a:solidFill>
                <a:srgbClr val="0070C0"/>
              </a:solidFill>
            </a:rPr>
            <a:t>或</a:t>
          </a:r>
          <a:r>
            <a:rPr lang="en-US" altLang="zh-TW" sz="1800">
              <a:solidFill>
                <a:srgbClr val="0070C0"/>
              </a:solidFill>
            </a:rPr>
            <a:t>ADR)</a:t>
          </a:r>
          <a:r>
            <a:rPr lang="zh-TW" altLang="en-US" sz="1100">
              <a:solidFill>
                <a:schemeClr val="tx1"/>
              </a:solidFill>
              <a:effectLst/>
              <a:latin typeface="+mn-lt"/>
              <a:ea typeface="+mn-ea"/>
              <a:cs typeface="+mn-cs"/>
            </a:rPr>
            <a:t>，</a:t>
          </a:r>
          <a:r>
            <a:rPr lang="zh-TW" altLang="en-US" sz="1800">
              <a:solidFill>
                <a:srgbClr val="0070C0"/>
              </a:solidFill>
              <a:latin typeface="+mn-lt"/>
              <a:ea typeface="+mn-ea"/>
              <a:cs typeface="+mn-cs"/>
            </a:rPr>
            <a:t>則</a:t>
          </a:r>
          <a:r>
            <a:rPr lang="zh-TW" altLang="en-US" sz="1800">
              <a:solidFill>
                <a:srgbClr val="0070C0"/>
              </a:solidFill>
            </a:rPr>
            <a:t>第六頁公司資料（含市值</a:t>
          </a:r>
          <a:r>
            <a:rPr lang="zh-TW" altLang="en-US" sz="1800">
              <a:solidFill>
                <a:srgbClr val="0070C0"/>
              </a:solidFill>
              <a:latin typeface="+mn-lt"/>
              <a:ea typeface="+mn-ea"/>
              <a:cs typeface="+mn-cs"/>
            </a:rPr>
            <a:t>）並</a:t>
          </a:r>
          <a:r>
            <a:rPr lang="zh-TW" altLang="zh-TW" sz="1800">
              <a:solidFill>
                <a:srgbClr val="0070C0"/>
              </a:solidFill>
              <a:latin typeface="+mn-lt"/>
              <a:ea typeface="+mn-ea"/>
              <a:cs typeface="+mn-cs"/>
            </a:rPr>
            <a:t>取得第六頁</a:t>
          </a:r>
          <a:r>
            <a:rPr lang="en-US" altLang="zh-TW" sz="1800">
              <a:solidFill>
                <a:srgbClr val="0070C0"/>
              </a:solidFill>
              <a:latin typeface="+mn-lt"/>
              <a:ea typeface="+mn-ea"/>
              <a:cs typeface="+mn-cs"/>
            </a:rPr>
            <a:t>Financial Currency</a:t>
          </a:r>
          <a:r>
            <a:rPr lang="zh-TW" altLang="zh-TW" sz="1800">
              <a:solidFill>
                <a:srgbClr val="0070C0"/>
              </a:solidFill>
              <a:latin typeface="+mn-lt"/>
              <a:ea typeface="+mn-ea"/>
              <a:cs typeface="+mn-cs"/>
            </a:rPr>
            <a:t> 之代碼</a:t>
          </a:r>
          <a:r>
            <a:rPr lang="en-US" altLang="zh-TW" sz="1800">
              <a:solidFill>
                <a:srgbClr val="0070C0"/>
              </a:solidFill>
              <a:latin typeface="+mn-lt"/>
              <a:ea typeface="+mn-ea"/>
              <a:cs typeface="+mn-cs"/>
            </a:rPr>
            <a:t>(JPY)</a:t>
          </a:r>
        </a:p>
        <a:p>
          <a:r>
            <a:rPr lang="zh-TW" altLang="en-US" sz="1800">
              <a:solidFill>
                <a:srgbClr val="0070C0"/>
              </a:solidFill>
              <a:latin typeface="+mn-lt"/>
              <a:ea typeface="+mn-ea"/>
              <a:cs typeface="+mn-cs"/>
            </a:rPr>
            <a:t>帶入第七頁</a:t>
          </a:r>
          <a:r>
            <a:rPr lang="en-US" altLang="zh-TW" sz="1800">
              <a:solidFill>
                <a:srgbClr val="0070C0"/>
              </a:solidFill>
              <a:latin typeface="+mn-lt"/>
              <a:ea typeface="+mn-ea"/>
              <a:cs typeface="+mn-cs"/>
            </a:rPr>
            <a:t>(</a:t>
          </a:r>
          <a:r>
            <a:rPr lang="zh-TW" altLang="en-US" sz="1800">
              <a:solidFill>
                <a:srgbClr val="0070C0"/>
              </a:solidFill>
              <a:latin typeface="+mn-lt"/>
              <a:ea typeface="+mn-ea"/>
              <a:cs typeface="+mn-cs"/>
            </a:rPr>
            <a:t>匯率</a:t>
          </a:r>
          <a:r>
            <a:rPr lang="en-US" altLang="zh-TW" sz="1800">
              <a:solidFill>
                <a:srgbClr val="0070C0"/>
              </a:solidFill>
              <a:latin typeface="+mn-lt"/>
              <a:ea typeface="+mn-ea"/>
              <a:cs typeface="+mn-cs"/>
            </a:rPr>
            <a:t>)</a:t>
          </a:r>
          <a:r>
            <a:rPr lang="zh-TW" altLang="en-US" sz="1800">
              <a:solidFill>
                <a:srgbClr val="0070C0"/>
              </a:solidFill>
              <a:latin typeface="+mn-lt"/>
              <a:ea typeface="+mn-ea"/>
              <a:cs typeface="+mn-cs"/>
            </a:rPr>
            <a:t>，取得</a:t>
          </a:r>
          <a:r>
            <a:rPr lang="en-US" altLang="zh-TW" sz="1800">
              <a:solidFill>
                <a:srgbClr val="0070C0"/>
              </a:solidFill>
            </a:rPr>
            <a:t>(USD/JPY)</a:t>
          </a:r>
          <a:r>
            <a:rPr lang="zh-TW" altLang="en-US" sz="1800">
              <a:solidFill>
                <a:srgbClr val="0070C0"/>
              </a:solidFill>
            </a:rPr>
            <a:t>之數據。</a:t>
          </a:r>
        </a:p>
      </xdr:txBody>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CO198"/>
  <sheetViews>
    <sheetView tabSelected="1" workbookViewId="0">
      <selection activeCell="N14" sqref="N14"/>
    </sheetView>
  </sheetViews>
  <sheetFormatPr defaultRowHeight="15.75" x14ac:dyDescent="0.25"/>
  <cols>
    <col min="66" max="66" width="9.140625" style="17"/>
    <col min="67" max="67" width="29.28515625" style="18" bestFit="1" customWidth="1"/>
    <col min="74" max="74" width="11.28515625" bestFit="1" customWidth="1"/>
    <col min="75" max="75" width="13.5703125" bestFit="1" customWidth="1"/>
    <col min="76" max="76" width="20.5703125" customWidth="1"/>
    <col min="77" max="77" width="39.42578125" customWidth="1"/>
    <col min="79" max="79" width="20.140625" customWidth="1"/>
    <col min="80" max="80" width="11.7109375" customWidth="1"/>
    <col min="92" max="92" width="29.140625" bestFit="1" customWidth="1"/>
    <col min="93" max="93" width="13" bestFit="1" customWidth="1"/>
  </cols>
  <sheetData>
    <row r="1" spans="1:93" ht="16.5" thickBot="1" x14ac:dyDescent="0.3">
      <c r="A1" t="s">
        <v>0</v>
      </c>
      <c r="I1" t="s">
        <v>1</v>
      </c>
      <c r="R1" s="30" t="s">
        <v>441</v>
      </c>
      <c r="S1" s="31" t="s">
        <v>2</v>
      </c>
      <c r="T1" s="32"/>
      <c r="U1" s="32"/>
      <c r="V1" s="32"/>
      <c r="W1" s="33"/>
      <c r="AE1" s="5" t="s">
        <v>2</v>
      </c>
      <c r="AF1" s="6"/>
      <c r="AG1" s="6"/>
      <c r="AH1" s="7"/>
      <c r="AI1" s="7"/>
      <c r="AJ1" s="7"/>
      <c r="AK1" s="8"/>
      <c r="AN1" s="5" t="s">
        <v>3</v>
      </c>
      <c r="AO1" s="6"/>
      <c r="AP1" s="6"/>
      <c r="AQ1" s="7"/>
      <c r="AR1" s="7"/>
      <c r="AS1" s="7"/>
      <c r="AT1" s="8"/>
      <c r="AW1" s="5" t="s">
        <v>4</v>
      </c>
      <c r="AX1" s="7"/>
      <c r="AY1" s="7"/>
      <c r="AZ1" s="7"/>
      <c r="BA1" s="7"/>
      <c r="BB1" s="7"/>
      <c r="BC1" s="8"/>
      <c r="BF1" s="5" t="s">
        <v>5</v>
      </c>
      <c r="BG1" s="7"/>
      <c r="BH1" s="7"/>
      <c r="BI1" s="7"/>
      <c r="BJ1" s="7"/>
      <c r="BK1" s="7"/>
      <c r="BL1" s="8"/>
      <c r="BO1" s="5" t="s">
        <v>6</v>
      </c>
      <c r="BP1" s="7"/>
      <c r="BQ1" s="7"/>
      <c r="BR1" s="7"/>
      <c r="BS1" s="7"/>
      <c r="BT1" s="7"/>
      <c r="BU1" s="7"/>
      <c r="BV1" s="7"/>
      <c r="BW1" s="8"/>
      <c r="BX1" s="26" t="s">
        <v>7</v>
      </c>
      <c r="BY1" s="27"/>
      <c r="CA1" s="26" t="s">
        <v>440</v>
      </c>
      <c r="CB1" s="27"/>
      <c r="CE1" s="5" t="s">
        <v>8</v>
      </c>
      <c r="CF1" s="7"/>
      <c r="CG1" s="7"/>
      <c r="CH1" s="7"/>
      <c r="CI1" s="7"/>
      <c r="CJ1" s="7"/>
      <c r="CK1" s="8"/>
      <c r="CN1" s="1" t="s">
        <v>9</v>
      </c>
    </row>
    <row r="2" spans="1:93" ht="17.25" thickBot="1" x14ac:dyDescent="0.3">
      <c r="A2" s="28" t="s">
        <v>10</v>
      </c>
      <c r="R2" s="34" t="s">
        <v>442</v>
      </c>
      <c r="S2" s="29" t="s">
        <v>3</v>
      </c>
      <c r="T2" s="13"/>
      <c r="U2" s="13"/>
      <c r="V2" s="13"/>
      <c r="W2" s="14"/>
      <c r="Z2" s="13"/>
      <c r="AA2" s="13"/>
      <c r="AE2" s="9" t="s">
        <v>11</v>
      </c>
      <c r="AF2" s="10" t="s">
        <v>12</v>
      </c>
      <c r="AG2" s="10" t="s">
        <v>13</v>
      </c>
      <c r="AH2" s="10" t="s">
        <v>14</v>
      </c>
      <c r="AI2" s="10" t="s">
        <v>15</v>
      </c>
      <c r="AJ2" s="10" t="s">
        <v>16</v>
      </c>
      <c r="AK2" s="11" t="s">
        <v>17</v>
      </c>
      <c r="AN2" s="9" t="s">
        <v>11</v>
      </c>
      <c r="AO2" s="10" t="s">
        <v>12</v>
      </c>
      <c r="AP2" s="10" t="s">
        <v>13</v>
      </c>
      <c r="AQ2" s="10" t="s">
        <v>14</v>
      </c>
      <c r="AR2" s="10" t="s">
        <v>15</v>
      </c>
      <c r="AS2" s="10" t="s">
        <v>16</v>
      </c>
      <c r="AT2" s="11" t="s">
        <v>17</v>
      </c>
      <c r="AW2" s="9" t="s">
        <v>11</v>
      </c>
      <c r="AX2" s="10" t="s">
        <v>18</v>
      </c>
      <c r="AY2" s="10" t="s">
        <v>19</v>
      </c>
      <c r="AZ2" s="10" t="s">
        <v>20</v>
      </c>
      <c r="BA2" s="10" t="s">
        <v>21</v>
      </c>
      <c r="BB2" s="10" t="s">
        <v>22</v>
      </c>
      <c r="BC2" s="11" t="s">
        <v>17</v>
      </c>
      <c r="BF2" s="9" t="s">
        <v>11</v>
      </c>
      <c r="BG2" s="10" t="s">
        <v>18</v>
      </c>
      <c r="BH2" s="10" t="s">
        <v>19</v>
      </c>
      <c r="BI2" s="10" t="s">
        <v>20</v>
      </c>
      <c r="BJ2" s="10" t="s">
        <v>21</v>
      </c>
      <c r="BK2" s="10" t="s">
        <v>22</v>
      </c>
      <c r="BL2" s="11" t="s">
        <v>17</v>
      </c>
      <c r="BO2" s="21"/>
      <c r="BP2" s="13"/>
      <c r="BQ2" s="13"/>
      <c r="BR2" s="13"/>
      <c r="BS2" s="13"/>
      <c r="BT2" s="13"/>
      <c r="BU2" s="13"/>
      <c r="BV2" s="13"/>
      <c r="BW2" s="22"/>
      <c r="BX2" t="s">
        <v>23</v>
      </c>
      <c r="BY2" t="s">
        <v>24</v>
      </c>
      <c r="CA2" s="2" t="s">
        <v>25</v>
      </c>
      <c r="CB2" s="2" t="s">
        <v>26</v>
      </c>
      <c r="CE2" s="9" t="s">
        <v>11</v>
      </c>
      <c r="CF2" s="10" t="s">
        <v>18</v>
      </c>
      <c r="CG2" s="10" t="s">
        <v>19</v>
      </c>
      <c r="CH2" s="10" t="s">
        <v>20</v>
      </c>
      <c r="CI2" s="10" t="s">
        <v>21</v>
      </c>
      <c r="CJ2" s="10" t="s">
        <v>22</v>
      </c>
      <c r="CK2" s="11" t="s">
        <v>17</v>
      </c>
      <c r="CN2" s="3" t="s">
        <v>27</v>
      </c>
      <c r="CO2" s="3">
        <v>93517.46</v>
      </c>
    </row>
    <row r="3" spans="1:93" ht="16.5" x14ac:dyDescent="0.25">
      <c r="K3">
        <v>100.31</v>
      </c>
      <c r="R3" s="34" t="s">
        <v>443</v>
      </c>
      <c r="S3" s="29" t="s">
        <v>4</v>
      </c>
      <c r="T3" s="13"/>
      <c r="U3" s="13"/>
      <c r="V3" s="13"/>
      <c r="W3" s="14"/>
      <c r="Z3" s="29"/>
      <c r="AE3" t="s">
        <v>28</v>
      </c>
      <c r="AF3">
        <v>872455.33859599999</v>
      </c>
      <c r="AG3">
        <v>699000</v>
      </c>
      <c r="AH3">
        <v>-227000</v>
      </c>
      <c r="AI3">
        <v>0</v>
      </c>
      <c r="AJ3">
        <v>0</v>
      </c>
      <c r="AK3">
        <v>472000</v>
      </c>
      <c r="AN3" t="s">
        <v>29</v>
      </c>
      <c r="AO3">
        <v>9179</v>
      </c>
      <c r="AP3">
        <v>33681</v>
      </c>
      <c r="AQ3">
        <v>39615</v>
      </c>
      <c r="AR3">
        <v>26509</v>
      </c>
      <c r="AS3">
        <v>3438</v>
      </c>
      <c r="AT3">
        <v>3438</v>
      </c>
      <c r="AW3" t="s">
        <v>28</v>
      </c>
      <c r="AY3">
        <v>-67487000</v>
      </c>
      <c r="AZ3">
        <v>-291404000</v>
      </c>
      <c r="BA3">
        <v>-22389701.069169</v>
      </c>
      <c r="BB3">
        <v>454337.69083099999</v>
      </c>
      <c r="BC3">
        <v>454337.69083099999</v>
      </c>
      <c r="BF3" t="s">
        <v>29</v>
      </c>
      <c r="BH3">
        <v>46205</v>
      </c>
      <c r="BI3">
        <v>20156</v>
      </c>
      <c r="BJ3">
        <v>9179</v>
      </c>
      <c r="BK3">
        <v>3438</v>
      </c>
      <c r="BL3">
        <v>3438</v>
      </c>
      <c r="BO3" s="21"/>
      <c r="BP3" s="13"/>
      <c r="BQ3" s="13"/>
      <c r="BR3" s="13"/>
      <c r="BS3" s="13"/>
      <c r="BT3" s="13"/>
      <c r="BU3" s="13"/>
      <c r="BV3" s="13"/>
      <c r="BW3" s="22"/>
      <c r="BX3" t="s">
        <v>30</v>
      </c>
      <c r="BY3" t="s">
        <v>10</v>
      </c>
      <c r="CA3" t="s">
        <v>31</v>
      </c>
      <c r="CB3" s="2">
        <v>1.365399956703186</v>
      </c>
      <c r="CE3" t="s">
        <v>32</v>
      </c>
      <c r="CG3">
        <v>21606000000</v>
      </c>
      <c r="CH3">
        <v>11140000000</v>
      </c>
      <c r="CI3">
        <v>9999000000</v>
      </c>
      <c r="CJ3">
        <v>12729000000</v>
      </c>
      <c r="CK3">
        <v>12729000000</v>
      </c>
      <c r="CN3" t="s">
        <v>33</v>
      </c>
      <c r="CO3">
        <v>88045.31</v>
      </c>
    </row>
    <row r="4" spans="1:93" ht="16.5" thickBot="1" x14ac:dyDescent="0.3">
      <c r="R4" s="34" t="s">
        <v>444</v>
      </c>
      <c r="S4" s="29" t="s">
        <v>5</v>
      </c>
      <c r="T4" s="13"/>
      <c r="U4" s="13"/>
      <c r="V4" s="13"/>
      <c r="W4" s="14"/>
      <c r="AE4" t="s">
        <v>34</v>
      </c>
      <c r="AF4">
        <v>0.218114</v>
      </c>
      <c r="AG4">
        <v>0.23300000000000001</v>
      </c>
      <c r="AH4">
        <v>0.22700000000000001</v>
      </c>
      <c r="AI4">
        <v>0.22900000000000001</v>
      </c>
      <c r="AJ4">
        <v>0.219198</v>
      </c>
      <c r="AK4">
        <v>0.90819800000000006</v>
      </c>
      <c r="AN4" t="s">
        <v>35</v>
      </c>
      <c r="AO4">
        <v>30000000</v>
      </c>
      <c r="AP4">
        <v>30000000</v>
      </c>
      <c r="AS4">
        <v>18000000</v>
      </c>
      <c r="AT4">
        <v>18000000</v>
      </c>
      <c r="AW4" t="s">
        <v>34</v>
      </c>
      <c r="AY4">
        <v>0.217</v>
      </c>
      <c r="AZ4">
        <v>0.27700000000000002</v>
      </c>
      <c r="BA4">
        <v>0.21950700000000001</v>
      </c>
      <c r="BB4">
        <v>0.22716900000000001</v>
      </c>
      <c r="BC4">
        <v>0.22716900000000001</v>
      </c>
      <c r="BF4" t="s">
        <v>35</v>
      </c>
      <c r="BH4">
        <v>81000000</v>
      </c>
      <c r="BI4">
        <v>81000000</v>
      </c>
      <c r="BJ4">
        <v>30000000</v>
      </c>
      <c r="BK4">
        <v>18000000</v>
      </c>
      <c r="BL4">
        <v>18000000</v>
      </c>
      <c r="BO4" s="23" t="s">
        <v>36</v>
      </c>
      <c r="BP4" s="24" t="s">
        <v>37</v>
      </c>
      <c r="BQ4" s="24" t="s">
        <v>38</v>
      </c>
      <c r="BR4" s="24" t="s">
        <v>39</v>
      </c>
      <c r="BS4" s="24" t="s">
        <v>40</v>
      </c>
      <c r="BT4" s="24" t="s">
        <v>243</v>
      </c>
      <c r="BU4" s="24" t="s">
        <v>41</v>
      </c>
      <c r="BV4" s="24" t="s">
        <v>244</v>
      </c>
      <c r="BW4" s="25" t="s">
        <v>245</v>
      </c>
      <c r="BX4" t="s">
        <v>42</v>
      </c>
      <c r="BY4" t="s">
        <v>43</v>
      </c>
      <c r="CA4" t="s">
        <v>37</v>
      </c>
      <c r="CB4">
        <v>1.3673199415206909</v>
      </c>
      <c r="CE4" t="s">
        <v>44</v>
      </c>
      <c r="CG4">
        <v>-934000000</v>
      </c>
      <c r="CH4">
        <v>0</v>
      </c>
      <c r="CI4">
        <v>-1398000000</v>
      </c>
      <c r="CJ4">
        <v>-3081000000</v>
      </c>
      <c r="CK4">
        <v>-3088000000</v>
      </c>
      <c r="CN4" t="s">
        <v>45</v>
      </c>
      <c r="CO4">
        <v>15.972929000000001</v>
      </c>
    </row>
    <row r="5" spans="1:93" x14ac:dyDescent="0.25">
      <c r="R5" s="34" t="s">
        <v>445</v>
      </c>
      <c r="S5" s="29" t="s">
        <v>6</v>
      </c>
      <c r="T5" s="13"/>
      <c r="U5" s="13"/>
      <c r="V5" s="13"/>
      <c r="W5" s="14"/>
      <c r="AE5" t="s">
        <v>46</v>
      </c>
      <c r="AF5">
        <v>4000000</v>
      </c>
      <c r="AG5">
        <v>3000000</v>
      </c>
      <c r="AH5">
        <v>-1000000</v>
      </c>
      <c r="AI5">
        <v>0</v>
      </c>
      <c r="AJ5">
        <v>0</v>
      </c>
      <c r="AK5">
        <v>2000000</v>
      </c>
      <c r="AN5" t="s">
        <v>47</v>
      </c>
      <c r="AO5">
        <v>942285419</v>
      </c>
      <c r="AP5">
        <v>940047574</v>
      </c>
      <c r="AQ5">
        <v>934190574</v>
      </c>
      <c r="AR5">
        <v>929450691</v>
      </c>
      <c r="AS5">
        <v>926610598</v>
      </c>
      <c r="AT5">
        <v>926610598</v>
      </c>
      <c r="AW5" t="s">
        <v>46</v>
      </c>
      <c r="AY5">
        <v>-311000000</v>
      </c>
      <c r="AZ5">
        <v>-1052000000</v>
      </c>
      <c r="BA5">
        <v>-102000000</v>
      </c>
      <c r="BB5">
        <v>2000000</v>
      </c>
      <c r="BC5">
        <v>2000000</v>
      </c>
      <c r="BF5" t="s">
        <v>47</v>
      </c>
      <c r="BH5">
        <v>905993892</v>
      </c>
      <c r="BI5">
        <v>931078785</v>
      </c>
      <c r="BJ5">
        <v>942285419</v>
      </c>
      <c r="BK5">
        <v>926610598</v>
      </c>
      <c r="BL5">
        <v>926610598</v>
      </c>
      <c r="BO5" s="20" t="s">
        <v>246</v>
      </c>
      <c r="BP5" s="13">
        <v>99.75</v>
      </c>
      <c r="BQ5" s="13">
        <v>101.9899978637695</v>
      </c>
      <c r="BR5" s="13">
        <v>98.269996643066406</v>
      </c>
      <c r="BS5" s="13">
        <v>100.30999755859381</v>
      </c>
      <c r="BT5" s="13">
        <v>100.30999755859381</v>
      </c>
      <c r="BU5" s="13">
        <v>4609600</v>
      </c>
      <c r="BV5" s="13">
        <v>0</v>
      </c>
      <c r="BW5" s="14">
        <v>0</v>
      </c>
      <c r="BX5" t="s">
        <v>48</v>
      </c>
      <c r="BY5" t="s">
        <v>49</v>
      </c>
      <c r="CA5" t="s">
        <v>38</v>
      </c>
      <c r="CB5">
        <v>1.367499947547913</v>
      </c>
      <c r="CE5" t="s">
        <v>50</v>
      </c>
      <c r="CG5">
        <v>-328000000</v>
      </c>
      <c r="CH5">
        <v>-1831000000</v>
      </c>
      <c r="CI5">
        <v>-1823000000</v>
      </c>
      <c r="CJ5">
        <v>-1378000000</v>
      </c>
      <c r="CK5">
        <v>-1378000000</v>
      </c>
      <c r="CN5" t="s">
        <v>51</v>
      </c>
      <c r="CO5">
        <v>12.321377</v>
      </c>
    </row>
    <row r="6" spans="1:93" x14ac:dyDescent="0.25">
      <c r="R6" s="34" t="s">
        <v>446</v>
      </c>
      <c r="S6" s="29" t="s">
        <v>7</v>
      </c>
      <c r="T6" s="13"/>
      <c r="U6" s="13"/>
      <c r="V6" s="13"/>
      <c r="W6" s="14"/>
      <c r="AE6" t="s">
        <v>52</v>
      </c>
      <c r="AF6">
        <v>4000000</v>
      </c>
      <c r="AG6">
        <v>3000000</v>
      </c>
      <c r="AH6">
        <v>-1000000</v>
      </c>
      <c r="AI6">
        <v>0</v>
      </c>
      <c r="AJ6">
        <v>0</v>
      </c>
      <c r="AK6">
        <v>2000000</v>
      </c>
      <c r="AN6" t="s">
        <v>53</v>
      </c>
      <c r="AO6">
        <v>942294598</v>
      </c>
      <c r="AP6">
        <v>940081255</v>
      </c>
      <c r="AQ6">
        <v>934230189</v>
      </c>
      <c r="AR6">
        <v>929477200</v>
      </c>
      <c r="AS6">
        <v>926614036</v>
      </c>
      <c r="AT6">
        <v>926614036</v>
      </c>
      <c r="AW6" t="s">
        <v>52</v>
      </c>
      <c r="AY6">
        <v>-311000000</v>
      </c>
      <c r="AZ6">
        <v>-1052000000</v>
      </c>
      <c r="BA6">
        <v>-102000000</v>
      </c>
      <c r="BB6">
        <v>2000000</v>
      </c>
      <c r="BC6">
        <v>2000000</v>
      </c>
      <c r="BF6" t="s">
        <v>53</v>
      </c>
      <c r="BH6">
        <v>906040097</v>
      </c>
      <c r="BI6">
        <v>931098941</v>
      </c>
      <c r="BJ6">
        <v>942294598</v>
      </c>
      <c r="BK6">
        <v>926614036</v>
      </c>
      <c r="BL6">
        <v>926614036</v>
      </c>
      <c r="BO6" s="19" t="s">
        <v>247</v>
      </c>
      <c r="BP6" s="13">
        <v>92.19000244140625</v>
      </c>
      <c r="BQ6" s="13">
        <v>105</v>
      </c>
      <c r="BR6" s="13">
        <v>92.099998474121094</v>
      </c>
      <c r="BS6" s="13">
        <v>100.9599990844727</v>
      </c>
      <c r="BT6" s="13">
        <v>100.9599990844727</v>
      </c>
      <c r="BU6" s="13">
        <v>19533900</v>
      </c>
      <c r="BV6" s="13">
        <v>0</v>
      </c>
      <c r="BW6" s="14">
        <v>0</v>
      </c>
      <c r="BX6" t="s">
        <v>54</v>
      </c>
      <c r="BY6" t="s">
        <v>55</v>
      </c>
      <c r="CA6" t="s">
        <v>39</v>
      </c>
      <c r="CB6">
        <v>1.362499952316284</v>
      </c>
      <c r="CE6" t="s">
        <v>56</v>
      </c>
      <c r="CG6">
        <v>1000000000</v>
      </c>
      <c r="CH6">
        <v>1750000000</v>
      </c>
      <c r="CI6">
        <v>2250000000</v>
      </c>
      <c r="CJ6">
        <v>1250000000</v>
      </c>
      <c r="CK6">
        <v>1250000000</v>
      </c>
      <c r="CN6" t="s">
        <v>57</v>
      </c>
      <c r="CO6">
        <v>6.28</v>
      </c>
    </row>
    <row r="7" spans="1:93" x14ac:dyDescent="0.25">
      <c r="R7" s="34" t="s">
        <v>447</v>
      </c>
      <c r="S7" s="29" t="s">
        <v>440</v>
      </c>
      <c r="T7" s="13"/>
      <c r="U7" s="13"/>
      <c r="V7" s="13"/>
      <c r="W7" s="14"/>
      <c r="AE7" t="s">
        <v>58</v>
      </c>
      <c r="AF7">
        <v>1874000000</v>
      </c>
      <c r="AG7">
        <v>2163000000</v>
      </c>
      <c r="AH7">
        <v>1998000000</v>
      </c>
      <c r="AI7">
        <v>2094000000</v>
      </c>
      <c r="AJ7">
        <v>2174000000</v>
      </c>
      <c r="AK7">
        <v>8429000000</v>
      </c>
      <c r="AN7" t="s">
        <v>59</v>
      </c>
      <c r="AO7">
        <v>152462000000</v>
      </c>
      <c r="AP7">
        <v>170162000000</v>
      </c>
      <c r="AQ7">
        <v>166150000000</v>
      </c>
      <c r="AR7">
        <v>168396000000</v>
      </c>
      <c r="AS7">
        <v>170032000000</v>
      </c>
      <c r="AT7">
        <v>170032000000</v>
      </c>
      <c r="AW7" t="s">
        <v>58</v>
      </c>
      <c r="AY7">
        <v>6220000000</v>
      </c>
      <c r="AZ7">
        <v>5001000000</v>
      </c>
      <c r="BA7">
        <v>7115000000</v>
      </c>
      <c r="BB7">
        <v>8429000000</v>
      </c>
      <c r="BC7">
        <v>8429000000</v>
      </c>
      <c r="BF7" t="s">
        <v>59</v>
      </c>
      <c r="BH7">
        <v>114126000000</v>
      </c>
      <c r="BI7">
        <v>131330000000</v>
      </c>
      <c r="BJ7">
        <v>152462000000</v>
      </c>
      <c r="BK7">
        <v>170032000000</v>
      </c>
      <c r="BL7">
        <v>170032000000</v>
      </c>
      <c r="BN7" s="17" t="str">
        <f>IF(RIGHT(BO7,5)="01/01",LEFT(BO7,4),"")</f>
        <v>2026</v>
      </c>
      <c r="BO7" s="19" t="s">
        <v>248</v>
      </c>
      <c r="BP7" s="13">
        <v>90.94000244140625</v>
      </c>
      <c r="BQ7" s="13">
        <v>95.199996948242188</v>
      </c>
      <c r="BR7" s="13">
        <v>90.220001220703125</v>
      </c>
      <c r="BS7" s="13">
        <v>92.389999389648438</v>
      </c>
      <c r="BT7" s="13">
        <v>92.389999389648438</v>
      </c>
      <c r="BU7" s="13">
        <v>22347600</v>
      </c>
      <c r="BV7" s="13">
        <v>0</v>
      </c>
      <c r="BW7" s="14">
        <v>0</v>
      </c>
      <c r="BX7" t="s">
        <v>60</v>
      </c>
      <c r="BY7" t="s">
        <v>61</v>
      </c>
      <c r="CE7" t="s">
        <v>62</v>
      </c>
      <c r="CG7">
        <v>1624000000</v>
      </c>
      <c r="CH7">
        <v>183000000</v>
      </c>
      <c r="CI7">
        <v>1308000000</v>
      </c>
      <c r="CJ7">
        <v>2919000000</v>
      </c>
      <c r="CK7">
        <v>2926000000</v>
      </c>
      <c r="CN7" t="s">
        <v>63</v>
      </c>
      <c r="CO7">
        <v>3.11</v>
      </c>
    </row>
    <row r="8" spans="1:93" x14ac:dyDescent="0.25">
      <c r="R8" s="34" t="s">
        <v>448</v>
      </c>
      <c r="S8" s="29" t="s">
        <v>8</v>
      </c>
      <c r="T8" s="13"/>
      <c r="U8" s="13"/>
      <c r="V8" s="13"/>
      <c r="W8" s="14"/>
      <c r="AE8" t="s">
        <v>64</v>
      </c>
      <c r="AF8">
        <v>289000000</v>
      </c>
      <c r="AG8">
        <v>286000000</v>
      </c>
      <c r="AH8">
        <v>281000000</v>
      </c>
      <c r="AI8">
        <v>287000000</v>
      </c>
      <c r="AJ8">
        <v>324000000</v>
      </c>
      <c r="AK8">
        <v>1178000000</v>
      </c>
      <c r="AN8" t="s">
        <v>65</v>
      </c>
      <c r="AO8">
        <v>208493000000</v>
      </c>
      <c r="AP8">
        <v>217973000000</v>
      </c>
      <c r="AQ8">
        <v>215736000000</v>
      </c>
      <c r="AR8">
        <v>223583000000</v>
      </c>
      <c r="AS8">
        <v>225780000000</v>
      </c>
      <c r="AT8">
        <v>225780000000</v>
      </c>
      <c r="AW8" t="s">
        <v>64</v>
      </c>
      <c r="AY8">
        <v>1047000000</v>
      </c>
      <c r="AZ8">
        <v>1143000000</v>
      </c>
      <c r="BA8">
        <v>1170000000</v>
      </c>
      <c r="BB8">
        <v>1178000000</v>
      </c>
      <c r="BC8">
        <v>1178000000</v>
      </c>
      <c r="BF8" t="s">
        <v>65</v>
      </c>
      <c r="BH8">
        <v>187454000000</v>
      </c>
      <c r="BI8">
        <v>194500000000</v>
      </c>
      <c r="BJ8">
        <v>208493000000</v>
      </c>
      <c r="BK8">
        <v>225780000000</v>
      </c>
      <c r="BL8">
        <v>225780000000</v>
      </c>
      <c r="BN8" s="17" t="str">
        <f t="shared" ref="BN8:BN71" si="0">IF(RIGHT(BO8,5)="01/01",LEFT(BO8,4),"")</f>
        <v/>
      </c>
      <c r="BO8" s="19" t="s">
        <v>249</v>
      </c>
      <c r="BP8" s="13">
        <v>86.25</v>
      </c>
      <c r="BQ8" s="13">
        <v>94.160003662109375</v>
      </c>
      <c r="BR8" s="13">
        <v>85.019996643066406</v>
      </c>
      <c r="BS8" s="13">
        <v>90.610000610351563</v>
      </c>
      <c r="BT8" s="13">
        <v>90.610000610351563</v>
      </c>
      <c r="BU8" s="13">
        <v>29552900</v>
      </c>
      <c r="BV8" s="13">
        <v>0</v>
      </c>
      <c r="BW8" s="14">
        <v>0</v>
      </c>
      <c r="BX8" t="s">
        <v>66</v>
      </c>
      <c r="BY8" t="s">
        <v>67</v>
      </c>
      <c r="CE8" t="s">
        <v>68</v>
      </c>
      <c r="CG8">
        <v>-1109000000</v>
      </c>
      <c r="CH8">
        <v>-1014000000</v>
      </c>
      <c r="CI8">
        <v>-1089000000</v>
      </c>
      <c r="CJ8">
        <v>-1109000000</v>
      </c>
      <c r="CK8">
        <v>-1109000000</v>
      </c>
      <c r="CN8" t="s">
        <v>69</v>
      </c>
      <c r="CO8">
        <v>0.45270001999999998</v>
      </c>
    </row>
    <row r="9" spans="1:93" ht="16.5" x14ac:dyDescent="0.25">
      <c r="E9">
        <v>8429</v>
      </c>
      <c r="R9" s="35" t="s">
        <v>449</v>
      </c>
      <c r="S9" s="36" t="s">
        <v>9</v>
      </c>
      <c r="T9" s="15"/>
      <c r="U9" s="15"/>
      <c r="V9" s="15"/>
      <c r="W9" s="16"/>
      <c r="AE9" t="s">
        <v>70</v>
      </c>
      <c r="AF9">
        <v>3633000000</v>
      </c>
      <c r="AG9">
        <v>3801000000</v>
      </c>
      <c r="AH9">
        <v>3788000000</v>
      </c>
      <c r="AI9">
        <v>4048000000</v>
      </c>
      <c r="AJ9">
        <v>4132000000</v>
      </c>
      <c r="AK9">
        <v>15769000000</v>
      </c>
      <c r="AN9" t="s">
        <v>71</v>
      </c>
      <c r="AO9">
        <v>45516000000</v>
      </c>
      <c r="AP9">
        <v>47557000000</v>
      </c>
      <c r="AQ9">
        <v>47511000000</v>
      </c>
      <c r="AR9">
        <v>47678000000</v>
      </c>
      <c r="AS9">
        <v>49391000000</v>
      </c>
      <c r="AT9">
        <v>49391000000</v>
      </c>
      <c r="AW9" t="s">
        <v>70</v>
      </c>
      <c r="AY9">
        <v>12641000000</v>
      </c>
      <c r="AZ9">
        <v>12825000000</v>
      </c>
      <c r="BA9">
        <v>13695000000</v>
      </c>
      <c r="BB9">
        <v>15769000000</v>
      </c>
      <c r="BC9">
        <v>15769000000</v>
      </c>
      <c r="BF9" t="s">
        <v>71</v>
      </c>
      <c r="BH9">
        <v>37318000000</v>
      </c>
      <c r="BI9">
        <v>39839000000</v>
      </c>
      <c r="BJ9">
        <v>45516000000</v>
      </c>
      <c r="BK9">
        <v>49391000000</v>
      </c>
      <c r="BL9">
        <v>49391000000</v>
      </c>
      <c r="BN9" s="17" t="str">
        <f t="shared" si="0"/>
        <v/>
      </c>
      <c r="BO9" s="19" t="s">
        <v>250</v>
      </c>
      <c r="BP9" s="13">
        <v>82.819999694824219</v>
      </c>
      <c r="BQ9" s="13">
        <v>87.370002746582031</v>
      </c>
      <c r="BR9" s="13">
        <v>82.25</v>
      </c>
      <c r="BS9" s="13">
        <v>86.129997253417969</v>
      </c>
      <c r="BT9" s="13">
        <v>86.129997253417969</v>
      </c>
      <c r="BU9" s="13">
        <v>17688000</v>
      </c>
      <c r="BV9" s="13">
        <v>0</v>
      </c>
      <c r="BW9" s="14">
        <v>0</v>
      </c>
      <c r="BX9" s="4" t="s">
        <v>450</v>
      </c>
      <c r="BY9" s="4" t="s">
        <v>72</v>
      </c>
      <c r="CE9" t="s">
        <v>73</v>
      </c>
      <c r="CG9">
        <v>8310000000</v>
      </c>
      <c r="CH9">
        <v>29673000000</v>
      </c>
      <c r="CI9">
        <v>38038000000</v>
      </c>
      <c r="CJ9">
        <v>33975000000</v>
      </c>
      <c r="CK9">
        <v>33975000000</v>
      </c>
      <c r="CN9" t="s">
        <v>74</v>
      </c>
      <c r="CO9">
        <v>1.2789999999999999</v>
      </c>
    </row>
    <row r="10" spans="1:93" x14ac:dyDescent="0.25">
      <c r="K10">
        <v>12</v>
      </c>
      <c r="AE10" t="s">
        <v>75</v>
      </c>
      <c r="AF10">
        <v>9598000000</v>
      </c>
      <c r="AG10">
        <v>8918000000</v>
      </c>
      <c r="AH10">
        <v>8071000000</v>
      </c>
      <c r="AI10">
        <v>8041000000</v>
      </c>
      <c r="AJ10">
        <v>7962000000</v>
      </c>
      <c r="AK10">
        <v>32992000000</v>
      </c>
      <c r="AN10" t="s">
        <v>76</v>
      </c>
      <c r="AO10">
        <v>262282000000</v>
      </c>
      <c r="AP10">
        <v>273974000000</v>
      </c>
      <c r="AQ10">
        <v>271460000000</v>
      </c>
      <c r="AR10">
        <v>279513000000</v>
      </c>
      <c r="AS10">
        <v>283540000000</v>
      </c>
      <c r="AT10">
        <v>283540000000</v>
      </c>
      <c r="AW10" t="s">
        <v>75</v>
      </c>
      <c r="AY10">
        <v>9538000000</v>
      </c>
      <c r="AZ10">
        <v>32194000000</v>
      </c>
      <c r="BA10">
        <v>38490000000</v>
      </c>
      <c r="BB10">
        <v>32992000000</v>
      </c>
      <c r="BC10">
        <v>32992000000</v>
      </c>
      <c r="BF10" t="s">
        <v>76</v>
      </c>
      <c r="BH10">
        <v>232712000000</v>
      </c>
      <c r="BI10">
        <v>242506000000</v>
      </c>
      <c r="BJ10">
        <v>262282000000</v>
      </c>
      <c r="BK10">
        <v>283540000000</v>
      </c>
      <c r="BL10">
        <v>283540000000</v>
      </c>
      <c r="BN10" s="17" t="str">
        <f t="shared" si="0"/>
        <v/>
      </c>
      <c r="BO10" s="19" t="s">
        <v>251</v>
      </c>
      <c r="BP10" s="13">
        <v>79.900001525878906</v>
      </c>
      <c r="BQ10" s="13">
        <v>84.010002136230469</v>
      </c>
      <c r="BR10" s="13">
        <v>79.319999694824219</v>
      </c>
      <c r="BS10" s="13">
        <v>82.870002746582031</v>
      </c>
      <c r="BT10" s="13">
        <v>82.870002746582031</v>
      </c>
      <c r="BU10" s="13">
        <v>18391800</v>
      </c>
      <c r="BV10" s="13">
        <v>0</v>
      </c>
      <c r="BW10" s="14">
        <v>0</v>
      </c>
      <c r="BX10" t="s">
        <v>77</v>
      </c>
      <c r="BY10">
        <v>100.31</v>
      </c>
      <c r="CE10" t="s">
        <v>78</v>
      </c>
      <c r="CG10">
        <v>2585000000</v>
      </c>
      <c r="CH10">
        <v>1657000000</v>
      </c>
      <c r="CI10">
        <v>2513000000</v>
      </c>
      <c r="CJ10">
        <v>3231000000</v>
      </c>
      <c r="CK10">
        <v>3231000000</v>
      </c>
      <c r="CN10" t="s">
        <v>79</v>
      </c>
      <c r="CO10">
        <v>105</v>
      </c>
    </row>
    <row r="11" spans="1:93" ht="16.5" x14ac:dyDescent="0.25">
      <c r="K11">
        <v>0.45270001999999998</v>
      </c>
      <c r="AE11" t="s">
        <v>80</v>
      </c>
      <c r="AF11">
        <v>13231000000</v>
      </c>
      <c r="AG11">
        <v>12719000000</v>
      </c>
      <c r="AH11">
        <v>11859000000</v>
      </c>
      <c r="AI11">
        <v>12089000000</v>
      </c>
      <c r="AJ11">
        <v>12094000000</v>
      </c>
      <c r="AK11">
        <v>48761000000</v>
      </c>
      <c r="AN11" t="s">
        <v>81</v>
      </c>
      <c r="AO11">
        <v>50462000000</v>
      </c>
      <c r="AP11">
        <v>52898000000</v>
      </c>
      <c r="AQ11">
        <v>53453000000</v>
      </c>
      <c r="AR11">
        <v>54347000000</v>
      </c>
      <c r="AS11">
        <v>55760000000</v>
      </c>
      <c r="AT11">
        <v>55760000000</v>
      </c>
      <c r="AW11" t="s">
        <v>80</v>
      </c>
      <c r="AY11">
        <v>22179000000</v>
      </c>
      <c r="AZ11">
        <v>45019000000</v>
      </c>
      <c r="BA11">
        <v>52185000000</v>
      </c>
      <c r="BB11">
        <v>48761000000</v>
      </c>
      <c r="BC11">
        <v>48761000000</v>
      </c>
      <c r="BF11" t="s">
        <v>81</v>
      </c>
      <c r="BH11">
        <v>42241000000</v>
      </c>
      <c r="BI11">
        <v>44764000000</v>
      </c>
      <c r="BJ11">
        <v>50462000000</v>
      </c>
      <c r="BK11">
        <v>55760000000</v>
      </c>
      <c r="BL11">
        <v>55760000000</v>
      </c>
      <c r="BN11" s="17" t="str">
        <f t="shared" si="0"/>
        <v/>
      </c>
      <c r="BO11" s="19" t="s">
        <v>252</v>
      </c>
      <c r="BP11" s="13">
        <v>76.5</v>
      </c>
      <c r="BQ11" s="13">
        <v>82.089996337890625</v>
      </c>
      <c r="BR11" s="13">
        <v>76.099998474121094</v>
      </c>
      <c r="BS11" s="13">
        <v>79.889999389648438</v>
      </c>
      <c r="BT11" s="13">
        <v>79.889999389648438</v>
      </c>
      <c r="BU11" s="13">
        <v>22530600</v>
      </c>
      <c r="BV11" s="13">
        <v>0</v>
      </c>
      <c r="BW11" s="14">
        <v>0</v>
      </c>
      <c r="BX11" s="12" t="s">
        <v>82</v>
      </c>
      <c r="BY11" s="3">
        <v>93517463552</v>
      </c>
      <c r="CE11" t="s">
        <v>83</v>
      </c>
      <c r="CG11">
        <v>31535000000</v>
      </c>
      <c r="CH11">
        <v>20816000000</v>
      </c>
      <c r="CI11">
        <v>8565000000</v>
      </c>
      <c r="CJ11">
        <v>12379000000</v>
      </c>
      <c r="CK11">
        <v>59021000000</v>
      </c>
      <c r="CN11" t="s">
        <v>84</v>
      </c>
      <c r="CO11">
        <v>53.62</v>
      </c>
    </row>
    <row r="12" spans="1:93" x14ac:dyDescent="0.25">
      <c r="K12">
        <v>0.25</v>
      </c>
      <c r="AE12" t="s">
        <v>85</v>
      </c>
      <c r="AF12">
        <v>1870872455.3385961</v>
      </c>
      <c r="AG12">
        <v>2160699000</v>
      </c>
      <c r="AH12">
        <v>1998773000</v>
      </c>
      <c r="AI12">
        <v>2094000000</v>
      </c>
      <c r="AJ12">
        <v>2174000000</v>
      </c>
      <c r="AK12">
        <v>8427472000</v>
      </c>
      <c r="AN12" t="s">
        <v>86</v>
      </c>
      <c r="AO12">
        <v>53789000000</v>
      </c>
      <c r="AP12">
        <v>56001000000</v>
      </c>
      <c r="AQ12">
        <v>55724000000</v>
      </c>
      <c r="AR12">
        <v>55930000000</v>
      </c>
      <c r="AS12">
        <v>57760000000</v>
      </c>
      <c r="AT12">
        <v>57760000000</v>
      </c>
      <c r="AW12" t="s">
        <v>85</v>
      </c>
      <c r="AY12">
        <v>6463513000</v>
      </c>
      <c r="AZ12">
        <v>5761596000</v>
      </c>
      <c r="BA12">
        <v>7194610298.930831</v>
      </c>
      <c r="BB12">
        <v>8427454337.6908312</v>
      </c>
      <c r="BC12">
        <v>8427454337.6908312</v>
      </c>
      <c r="BF12" t="s">
        <v>86</v>
      </c>
      <c r="BH12">
        <v>45258000000</v>
      </c>
      <c r="BI12">
        <v>48006000000</v>
      </c>
      <c r="BJ12">
        <v>53789000000</v>
      </c>
      <c r="BK12">
        <v>57760000000</v>
      </c>
      <c r="BL12">
        <v>57760000000</v>
      </c>
      <c r="BN12" s="17" t="str">
        <f t="shared" si="0"/>
        <v/>
      </c>
      <c r="BO12" s="19" t="s">
        <v>253</v>
      </c>
      <c r="BP12" s="13">
        <v>71.269996643066406</v>
      </c>
      <c r="BQ12" s="13">
        <v>77.730003356933594</v>
      </c>
      <c r="BR12" s="13">
        <v>71</v>
      </c>
      <c r="BS12" s="13">
        <v>77.290000915527344</v>
      </c>
      <c r="BT12" s="13">
        <v>77.290000915527344</v>
      </c>
      <c r="BU12" s="13">
        <v>27511800</v>
      </c>
      <c r="BV12" s="13">
        <v>0</v>
      </c>
      <c r="BW12" s="14">
        <v>0</v>
      </c>
      <c r="BX12" t="s">
        <v>87</v>
      </c>
      <c r="BY12">
        <v>88045314048</v>
      </c>
      <c r="CE12" t="s">
        <v>88</v>
      </c>
      <c r="CG12">
        <v>34573000000</v>
      </c>
      <c r="CH12">
        <v>31535000000</v>
      </c>
      <c r="CI12">
        <v>20816000000</v>
      </c>
      <c r="CJ12">
        <v>8565000000</v>
      </c>
      <c r="CK12">
        <v>55207000000</v>
      </c>
      <c r="CN12" t="s">
        <v>89</v>
      </c>
      <c r="CO12">
        <v>27913000960</v>
      </c>
    </row>
    <row r="13" spans="1:93" x14ac:dyDescent="0.25">
      <c r="AE13" t="s">
        <v>90</v>
      </c>
      <c r="AF13">
        <v>1874000000</v>
      </c>
      <c r="AG13">
        <v>2163000000</v>
      </c>
      <c r="AH13">
        <v>1998000000</v>
      </c>
      <c r="AI13">
        <v>2094000000</v>
      </c>
      <c r="AJ13">
        <v>2174000000</v>
      </c>
      <c r="AK13">
        <v>8429000000</v>
      </c>
      <c r="AN13" t="s">
        <v>91</v>
      </c>
      <c r="AO13">
        <v>4946000000</v>
      </c>
      <c r="AP13">
        <v>5341000000</v>
      </c>
      <c r="AQ13">
        <v>5942000000</v>
      </c>
      <c r="AR13">
        <v>6669000000</v>
      </c>
      <c r="AS13">
        <v>6369000000</v>
      </c>
      <c r="AT13">
        <v>6369000000</v>
      </c>
      <c r="AW13" t="s">
        <v>90</v>
      </c>
      <c r="AY13">
        <v>6220000000</v>
      </c>
      <c r="AZ13">
        <v>5001000000</v>
      </c>
      <c r="BA13">
        <v>7115000000</v>
      </c>
      <c r="BB13">
        <v>8429000000</v>
      </c>
      <c r="BC13">
        <v>8429000000</v>
      </c>
      <c r="BF13" t="s">
        <v>91</v>
      </c>
      <c r="BH13">
        <v>4923000000</v>
      </c>
      <c r="BI13">
        <v>4925000000</v>
      </c>
      <c r="BJ13">
        <v>4946000000</v>
      </c>
      <c r="BK13">
        <v>6369000000</v>
      </c>
      <c r="BL13">
        <v>6369000000</v>
      </c>
      <c r="BN13" s="17" t="str">
        <f t="shared" si="0"/>
        <v/>
      </c>
      <c r="BO13" s="19" t="s">
        <v>254</v>
      </c>
      <c r="BP13" s="13">
        <v>70.680000305175781</v>
      </c>
      <c r="BQ13" s="13">
        <v>74.629997253417969</v>
      </c>
      <c r="BR13" s="13">
        <v>70.680000305175781</v>
      </c>
      <c r="BS13" s="13">
        <v>71.44000244140625</v>
      </c>
      <c r="BT13" s="13">
        <v>71.44000244140625</v>
      </c>
      <c r="BU13" s="13">
        <v>29309700</v>
      </c>
      <c r="BV13" s="13">
        <v>0</v>
      </c>
      <c r="BW13" s="14">
        <v>0</v>
      </c>
      <c r="BX13" t="s">
        <v>45</v>
      </c>
      <c r="BY13">
        <v>15.972929000000001</v>
      </c>
      <c r="CE13" t="s">
        <v>92</v>
      </c>
      <c r="CG13">
        <v>248000000</v>
      </c>
      <c r="CH13">
        <v>49000000</v>
      </c>
      <c r="CI13">
        <v>22000000</v>
      </c>
      <c r="CJ13">
        <v>63000000</v>
      </c>
      <c r="CK13">
        <v>63000000</v>
      </c>
      <c r="CN13" t="s">
        <v>93</v>
      </c>
      <c r="CO13">
        <v>8977000448</v>
      </c>
    </row>
    <row r="14" spans="1:93" x14ac:dyDescent="0.25">
      <c r="AE14" t="s">
        <v>94</v>
      </c>
      <c r="AG14">
        <v>947345000</v>
      </c>
      <c r="AH14">
        <v>942748000</v>
      </c>
      <c r="AI14">
        <v>937518000</v>
      </c>
      <c r="AK14">
        <v>2827611000</v>
      </c>
      <c r="AN14" t="s">
        <v>95</v>
      </c>
      <c r="AO14">
        <v>183831000000</v>
      </c>
      <c r="AP14">
        <v>195062000000</v>
      </c>
      <c r="AQ14">
        <v>189279000000</v>
      </c>
      <c r="AR14">
        <v>196691000000</v>
      </c>
      <c r="AS14">
        <v>205004000000</v>
      </c>
      <c r="AT14">
        <v>205004000000</v>
      </c>
      <c r="AW14" t="s">
        <v>94</v>
      </c>
      <c r="AY14">
        <v>905684000</v>
      </c>
      <c r="AZ14">
        <v>916223000</v>
      </c>
      <c r="BA14">
        <v>941712000</v>
      </c>
      <c r="BB14">
        <v>940675000</v>
      </c>
      <c r="BC14">
        <v>940675000</v>
      </c>
      <c r="BF14" t="s">
        <v>95</v>
      </c>
      <c r="BH14">
        <v>157426000000</v>
      </c>
      <c r="BI14">
        <v>169775000000</v>
      </c>
      <c r="BJ14">
        <v>183831000000</v>
      </c>
      <c r="BK14">
        <v>205004000000</v>
      </c>
      <c r="BL14">
        <v>205004000000</v>
      </c>
      <c r="BN14" s="17" t="str">
        <f t="shared" si="0"/>
        <v/>
      </c>
      <c r="BO14" s="19" t="s">
        <v>255</v>
      </c>
      <c r="BP14" s="13"/>
      <c r="BQ14" s="13"/>
      <c r="BR14" s="13"/>
      <c r="BS14" s="13"/>
      <c r="BT14" s="13"/>
      <c r="BU14" s="13"/>
      <c r="BV14" s="13">
        <v>0.71099999999999997</v>
      </c>
      <c r="BW14" s="14">
        <v>0</v>
      </c>
      <c r="BX14" t="s">
        <v>51</v>
      </c>
      <c r="BY14">
        <v>12.321377</v>
      </c>
      <c r="CE14" t="s">
        <v>96</v>
      </c>
      <c r="CG14">
        <v>-3286000000</v>
      </c>
      <c r="CH14">
        <v>-10768000000</v>
      </c>
      <c r="CI14">
        <v>-12273000000</v>
      </c>
      <c r="CJ14">
        <v>3751000000</v>
      </c>
      <c r="CK14">
        <v>3751000000</v>
      </c>
      <c r="CN14" t="s">
        <v>97</v>
      </c>
      <c r="CO14">
        <v>926610598</v>
      </c>
    </row>
    <row r="15" spans="1:93" x14ac:dyDescent="0.25">
      <c r="F15">
        <v>1.365399956703186</v>
      </c>
      <c r="AE15" t="s">
        <v>98</v>
      </c>
      <c r="AG15">
        <v>942039000</v>
      </c>
      <c r="AH15">
        <v>938495000</v>
      </c>
      <c r="AI15">
        <v>932258000</v>
      </c>
      <c r="AK15">
        <v>2812792000</v>
      </c>
      <c r="AN15" t="s">
        <v>99</v>
      </c>
      <c r="AO15">
        <v>59007000000</v>
      </c>
      <c r="AP15">
        <v>61631000000</v>
      </c>
      <c r="AQ15">
        <v>61946000000</v>
      </c>
      <c r="AR15">
        <v>62876000000</v>
      </c>
      <c r="AS15">
        <v>64413000000</v>
      </c>
      <c r="AT15">
        <v>64413000000</v>
      </c>
      <c r="AW15" t="s">
        <v>98</v>
      </c>
      <c r="AY15">
        <v>903312000</v>
      </c>
      <c r="AZ15">
        <v>915631000</v>
      </c>
      <c r="BA15">
        <v>939352000</v>
      </c>
      <c r="BB15">
        <v>935374000</v>
      </c>
      <c r="BC15">
        <v>935374000</v>
      </c>
      <c r="BF15" t="s">
        <v>99</v>
      </c>
      <c r="BH15">
        <v>50382000000</v>
      </c>
      <c r="BI15">
        <v>53163000000</v>
      </c>
      <c r="BJ15">
        <v>59007000000</v>
      </c>
      <c r="BK15">
        <v>64413000000</v>
      </c>
      <c r="BL15">
        <v>64413000000</v>
      </c>
      <c r="BN15" s="17" t="str">
        <f t="shared" si="0"/>
        <v/>
      </c>
      <c r="BO15" s="19" t="s">
        <v>256</v>
      </c>
      <c r="BP15" s="13">
        <v>67.830001831054688</v>
      </c>
      <c r="BQ15" s="13">
        <v>70.959999084472656</v>
      </c>
      <c r="BR15" s="13">
        <v>67.300003051757813</v>
      </c>
      <c r="BS15" s="13">
        <v>70.830001831054688</v>
      </c>
      <c r="BT15" s="13">
        <v>70.830001831054688</v>
      </c>
      <c r="BU15" s="13">
        <v>29374700</v>
      </c>
      <c r="BV15" s="13">
        <v>0</v>
      </c>
      <c r="BW15" s="14">
        <v>0</v>
      </c>
      <c r="BX15" t="s">
        <v>57</v>
      </c>
      <c r="BY15">
        <v>6.28</v>
      </c>
      <c r="CE15" t="s">
        <v>100</v>
      </c>
      <c r="CG15">
        <v>-1610000000</v>
      </c>
      <c r="CH15">
        <v>-2159000000</v>
      </c>
      <c r="CI15">
        <v>-2610000000</v>
      </c>
      <c r="CJ15">
        <v>-4312000000</v>
      </c>
      <c r="CK15">
        <v>-4312000000</v>
      </c>
      <c r="CN15" t="s">
        <v>101</v>
      </c>
      <c r="CO15">
        <v>919328448</v>
      </c>
    </row>
    <row r="16" spans="1:93" x14ac:dyDescent="0.25">
      <c r="Y16" t="s">
        <v>102</v>
      </c>
      <c r="AE16" t="s">
        <v>103</v>
      </c>
      <c r="AG16">
        <v>2.19</v>
      </c>
      <c r="AH16">
        <v>2.04</v>
      </c>
      <c r="AI16">
        <v>2.15</v>
      </c>
      <c r="AK16">
        <v>6.3800000000000008</v>
      </c>
      <c r="AN16" t="s">
        <v>104</v>
      </c>
      <c r="AO16">
        <v>272000000</v>
      </c>
      <c r="AP16">
        <v>289000000</v>
      </c>
      <c r="AQ16">
        <v>280000000</v>
      </c>
      <c r="AR16">
        <v>277000000</v>
      </c>
      <c r="AS16">
        <v>284000000</v>
      </c>
      <c r="AT16">
        <v>284000000</v>
      </c>
      <c r="AW16" t="s">
        <v>103</v>
      </c>
      <c r="AY16">
        <v>6.68</v>
      </c>
      <c r="AZ16">
        <v>5.17</v>
      </c>
      <c r="BA16">
        <v>7.28</v>
      </c>
      <c r="BB16">
        <v>8.57</v>
      </c>
      <c r="BC16">
        <v>8.57</v>
      </c>
      <c r="BF16" t="s">
        <v>104</v>
      </c>
      <c r="BH16">
        <v>201000000</v>
      </c>
      <c r="BI16">
        <v>232000000</v>
      </c>
      <c r="BJ16">
        <v>272000000</v>
      </c>
      <c r="BK16">
        <v>284000000</v>
      </c>
      <c r="BL16">
        <v>284000000</v>
      </c>
      <c r="BN16" s="17" t="str">
        <f t="shared" si="0"/>
        <v/>
      </c>
      <c r="BO16" s="19" t="s">
        <v>257</v>
      </c>
      <c r="BP16" s="13">
        <v>62.75</v>
      </c>
      <c r="BQ16" s="13">
        <v>69.879997253417969</v>
      </c>
      <c r="BR16" s="13">
        <v>62.669998168945313</v>
      </c>
      <c r="BS16" s="13">
        <v>67.94000244140625</v>
      </c>
      <c r="BT16" s="13">
        <v>67.255401611328125</v>
      </c>
      <c r="BU16" s="13">
        <v>19782000</v>
      </c>
      <c r="BV16" s="13">
        <v>0</v>
      </c>
      <c r="BW16" s="14">
        <v>0</v>
      </c>
      <c r="BX16" t="s">
        <v>63</v>
      </c>
      <c r="BY16">
        <v>3.11</v>
      </c>
      <c r="CE16" t="s">
        <v>105</v>
      </c>
      <c r="CG16">
        <v>-1610000000</v>
      </c>
      <c r="CH16">
        <v>-2159000000</v>
      </c>
      <c r="CI16">
        <v>-2610000000</v>
      </c>
      <c r="CJ16">
        <v>-4312000000</v>
      </c>
      <c r="CK16">
        <v>-4312000000</v>
      </c>
      <c r="CN16" t="s">
        <v>106</v>
      </c>
      <c r="CO16">
        <v>932284638</v>
      </c>
    </row>
    <row r="17" spans="23:93" x14ac:dyDescent="0.25">
      <c r="AE17" t="s">
        <v>107</v>
      </c>
      <c r="AG17">
        <v>2.2000000000000002</v>
      </c>
      <c r="AH17">
        <v>2.0499999999999998</v>
      </c>
      <c r="AI17">
        <v>2.16</v>
      </c>
      <c r="AK17">
        <v>6.41</v>
      </c>
      <c r="AN17" t="s">
        <v>108</v>
      </c>
      <c r="AO17">
        <v>58735000000</v>
      </c>
      <c r="AP17">
        <v>61342000000</v>
      </c>
      <c r="AQ17">
        <v>61666000000</v>
      </c>
      <c r="AR17">
        <v>62599000000</v>
      </c>
      <c r="AS17">
        <v>64129000000</v>
      </c>
      <c r="AT17">
        <v>64129000000</v>
      </c>
      <c r="AW17" t="s">
        <v>107</v>
      </c>
      <c r="AY17">
        <v>6.7</v>
      </c>
      <c r="AZ17">
        <v>5.17</v>
      </c>
      <c r="BA17">
        <v>7.29</v>
      </c>
      <c r="BB17">
        <v>8.6199999999999992</v>
      </c>
      <c r="BC17">
        <v>8.6199999999999992</v>
      </c>
      <c r="BF17" t="s">
        <v>108</v>
      </c>
      <c r="BH17">
        <v>50181000000</v>
      </c>
      <c r="BI17">
        <v>52931000000</v>
      </c>
      <c r="BJ17">
        <v>58735000000</v>
      </c>
      <c r="BK17">
        <v>64129000000</v>
      </c>
      <c r="BL17">
        <v>64129000000</v>
      </c>
      <c r="BN17" s="17" t="str">
        <f t="shared" si="0"/>
        <v/>
      </c>
      <c r="BO17" s="19" t="s">
        <v>258</v>
      </c>
      <c r="BP17" s="13">
        <v>55.950000762939453</v>
      </c>
      <c r="BQ17" s="13">
        <v>63.169998168945313</v>
      </c>
      <c r="BR17" s="13">
        <v>53.619998931884773</v>
      </c>
      <c r="BS17" s="13">
        <v>62.950000762939453</v>
      </c>
      <c r="BT17" s="13">
        <v>62.315685272216797</v>
      </c>
      <c r="BU17" s="13">
        <v>26050300</v>
      </c>
      <c r="BV17" s="13">
        <v>0</v>
      </c>
      <c r="BW17" s="14">
        <v>0</v>
      </c>
      <c r="BX17" t="s">
        <v>69</v>
      </c>
      <c r="BY17">
        <v>0.45270001999999998</v>
      </c>
      <c r="CE17" t="s">
        <v>109</v>
      </c>
      <c r="CJ17">
        <v>-29000000</v>
      </c>
      <c r="CK17">
        <v>-29000000</v>
      </c>
      <c r="CN17" t="s">
        <v>110</v>
      </c>
      <c r="CO17">
        <v>2.4000000999999999E-4</v>
      </c>
    </row>
    <row r="18" spans="23:93" x14ac:dyDescent="0.25">
      <c r="AE18" t="s">
        <v>111</v>
      </c>
      <c r="AF18">
        <v>1802000000</v>
      </c>
      <c r="AG18">
        <v>2075000000</v>
      </c>
      <c r="AH18">
        <v>1920000000</v>
      </c>
      <c r="AI18">
        <v>2012000000</v>
      </c>
      <c r="AJ18">
        <v>2058000000</v>
      </c>
      <c r="AK18">
        <v>8065000000</v>
      </c>
      <c r="AN18" t="s">
        <v>112</v>
      </c>
      <c r="AO18">
        <v>3148000000</v>
      </c>
      <c r="AP18">
        <v>4442000000</v>
      </c>
      <c r="AQ18">
        <v>3655000000</v>
      </c>
      <c r="AR18">
        <v>3233000000</v>
      </c>
      <c r="AS18">
        <v>4218000000</v>
      </c>
      <c r="AT18">
        <v>4218000000</v>
      </c>
      <c r="AW18" t="s">
        <v>111</v>
      </c>
      <c r="AY18">
        <v>6049000000</v>
      </c>
      <c r="AZ18">
        <v>4734000000</v>
      </c>
      <c r="BA18">
        <v>6852000000</v>
      </c>
      <c r="BB18">
        <v>8065000000</v>
      </c>
      <c r="BC18">
        <v>8065000000</v>
      </c>
      <c r="BF18" t="s">
        <v>112</v>
      </c>
      <c r="BH18">
        <v>1594000000</v>
      </c>
      <c r="BI18">
        <v>1463000000</v>
      </c>
      <c r="BJ18">
        <v>3148000000</v>
      </c>
      <c r="BK18">
        <v>4218000000</v>
      </c>
      <c r="BL18">
        <v>4218000000</v>
      </c>
      <c r="BN18" s="17" t="str">
        <f t="shared" si="0"/>
        <v/>
      </c>
      <c r="BO18" s="19" t="s">
        <v>259</v>
      </c>
      <c r="BP18" s="13"/>
      <c r="BQ18" s="13"/>
      <c r="BR18" s="13"/>
      <c r="BS18" s="13"/>
      <c r="BT18" s="13"/>
      <c r="BU18" s="13"/>
      <c r="BV18" s="13">
        <v>0.67800000000000005</v>
      </c>
      <c r="BW18" s="14">
        <v>0</v>
      </c>
      <c r="BX18" t="s">
        <v>74</v>
      </c>
      <c r="BY18">
        <v>1.2789999999999999</v>
      </c>
      <c r="CE18" t="s">
        <v>113</v>
      </c>
      <c r="CG18">
        <v>-2972000000</v>
      </c>
      <c r="CH18">
        <v>-2261000000</v>
      </c>
      <c r="CI18">
        <v>-2947000000</v>
      </c>
      <c r="CJ18">
        <v>-3993000000</v>
      </c>
      <c r="CK18">
        <v>-3993000000</v>
      </c>
      <c r="CN18" t="s">
        <v>114</v>
      </c>
      <c r="CO18">
        <v>0.53295000000000003</v>
      </c>
    </row>
    <row r="19" spans="23:93" x14ac:dyDescent="0.25">
      <c r="AE19" t="s">
        <v>115</v>
      </c>
      <c r="AF19">
        <v>1802000000</v>
      </c>
      <c r="AG19">
        <v>2075000000</v>
      </c>
      <c r="AH19">
        <v>1920000000</v>
      </c>
      <c r="AI19">
        <v>2012000000</v>
      </c>
      <c r="AJ19">
        <v>2058000000</v>
      </c>
      <c r="AK19">
        <v>8065000000</v>
      </c>
      <c r="AN19" t="s">
        <v>116</v>
      </c>
      <c r="AO19">
        <v>3148000000</v>
      </c>
      <c r="AP19">
        <v>4442000000</v>
      </c>
      <c r="AQ19">
        <v>3655000000</v>
      </c>
      <c r="AR19">
        <v>3233000000</v>
      </c>
      <c r="AS19">
        <v>4218000000</v>
      </c>
      <c r="AT19">
        <v>4218000000</v>
      </c>
      <c r="AW19" t="s">
        <v>115</v>
      </c>
      <c r="AY19">
        <v>6049000000</v>
      </c>
      <c r="AZ19">
        <v>4734000000</v>
      </c>
      <c r="BA19">
        <v>6852000000</v>
      </c>
      <c r="BB19">
        <v>8065000000</v>
      </c>
      <c r="BC19">
        <v>8065000000</v>
      </c>
      <c r="BF19" t="s">
        <v>116</v>
      </c>
      <c r="BH19">
        <v>1594000000</v>
      </c>
      <c r="BI19">
        <v>1463000000</v>
      </c>
      <c r="BJ19">
        <v>3148000000</v>
      </c>
      <c r="BK19">
        <v>4218000000</v>
      </c>
      <c r="BL19">
        <v>4218000000</v>
      </c>
      <c r="BN19" s="17" t="str">
        <f t="shared" si="0"/>
        <v/>
      </c>
      <c r="BO19" s="19" t="s">
        <v>260</v>
      </c>
      <c r="BP19" s="13">
        <v>60.919998168945313</v>
      </c>
      <c r="BQ19" s="13">
        <v>61</v>
      </c>
      <c r="BR19" s="13">
        <v>54.459999084472663</v>
      </c>
      <c r="BS19" s="13">
        <v>56.299999237060547</v>
      </c>
      <c r="BT19" s="13">
        <v>55.732692718505859</v>
      </c>
      <c r="BU19" s="13">
        <v>27774700</v>
      </c>
      <c r="BV19" s="13">
        <v>0</v>
      </c>
      <c r="BW19" s="14">
        <v>0</v>
      </c>
      <c r="BX19" t="s">
        <v>79</v>
      </c>
      <c r="BY19">
        <v>105</v>
      </c>
      <c r="CE19" t="s">
        <v>117</v>
      </c>
      <c r="CG19">
        <v>595000000</v>
      </c>
      <c r="CH19">
        <v>0</v>
      </c>
      <c r="CI19">
        <v>21000000</v>
      </c>
      <c r="CJ19">
        <v>1407000000</v>
      </c>
      <c r="CK19">
        <v>1407000000</v>
      </c>
      <c r="CN19" t="s">
        <v>118</v>
      </c>
      <c r="CO19">
        <v>8816053</v>
      </c>
    </row>
    <row r="20" spans="23:93" x14ac:dyDescent="0.25">
      <c r="AE20" t="s">
        <v>119</v>
      </c>
      <c r="AF20">
        <v>72000000</v>
      </c>
      <c r="AG20">
        <v>88000000</v>
      </c>
      <c r="AH20">
        <v>78000000</v>
      </c>
      <c r="AI20">
        <v>82000000</v>
      </c>
      <c r="AJ20">
        <v>116000000</v>
      </c>
      <c r="AK20">
        <v>364000000</v>
      </c>
      <c r="AN20" t="s">
        <v>120</v>
      </c>
      <c r="AO20">
        <v>33471000000</v>
      </c>
      <c r="AP20">
        <v>34366000000</v>
      </c>
      <c r="AQ20">
        <v>34984000000</v>
      </c>
      <c r="AR20">
        <v>35655000000</v>
      </c>
      <c r="AS20">
        <v>36471000000</v>
      </c>
      <c r="AT20">
        <v>36471000000</v>
      </c>
      <c r="AW20" t="s">
        <v>119</v>
      </c>
      <c r="AY20">
        <v>171000000</v>
      </c>
      <c r="AZ20">
        <v>267000000</v>
      </c>
      <c r="BA20">
        <v>263000000</v>
      </c>
      <c r="BB20">
        <v>364000000</v>
      </c>
      <c r="BC20">
        <v>364000000</v>
      </c>
      <c r="BF20" t="s">
        <v>120</v>
      </c>
      <c r="BH20">
        <v>28823000000</v>
      </c>
      <c r="BI20">
        <v>30352000000</v>
      </c>
      <c r="BJ20">
        <v>33471000000</v>
      </c>
      <c r="BK20">
        <v>36471000000</v>
      </c>
      <c r="BL20">
        <v>36471000000</v>
      </c>
      <c r="BN20" s="17" t="str">
        <f t="shared" si="0"/>
        <v/>
      </c>
      <c r="BO20" s="19" t="s">
        <v>261</v>
      </c>
      <c r="BP20" s="13">
        <v>60.680000305175781</v>
      </c>
      <c r="BQ20" s="13">
        <v>62.430000305175781</v>
      </c>
      <c r="BR20" s="13">
        <v>57.990001678466797</v>
      </c>
      <c r="BS20" s="13">
        <v>60.580001831054688</v>
      </c>
      <c r="BT20" s="13">
        <v>59.259857177734382</v>
      </c>
      <c r="BU20" s="13">
        <v>16211100</v>
      </c>
      <c r="BV20" s="13">
        <v>0</v>
      </c>
      <c r="BW20" s="14">
        <v>0</v>
      </c>
      <c r="BX20" t="s">
        <v>84</v>
      </c>
      <c r="BY20">
        <v>53.62</v>
      </c>
      <c r="CE20" t="s">
        <v>121</v>
      </c>
      <c r="CG20">
        <v>-800000000</v>
      </c>
      <c r="CH20">
        <v>0</v>
      </c>
      <c r="CI20">
        <v>-975000000</v>
      </c>
      <c r="CJ20">
        <v>-1350000000</v>
      </c>
      <c r="CK20">
        <v>-1350000000</v>
      </c>
      <c r="CN20" t="s">
        <v>122</v>
      </c>
      <c r="CO20">
        <v>12854290</v>
      </c>
    </row>
    <row r="21" spans="23:93" x14ac:dyDescent="0.25">
      <c r="AE21" t="s">
        <v>123</v>
      </c>
      <c r="AF21">
        <v>1874000000</v>
      </c>
      <c r="AG21">
        <v>2163000000</v>
      </c>
      <c r="AH21">
        <v>1998000000</v>
      </c>
      <c r="AI21">
        <v>2094000000</v>
      </c>
      <c r="AJ21">
        <v>2174000000</v>
      </c>
      <c r="AK21">
        <v>8429000000</v>
      </c>
      <c r="AN21" t="s">
        <v>124</v>
      </c>
      <c r="AO21">
        <v>159000000</v>
      </c>
      <c r="AP21">
        <v>166000000</v>
      </c>
      <c r="AQ21">
        <v>156000000</v>
      </c>
      <c r="AR21">
        <v>175000000</v>
      </c>
      <c r="AS21">
        <v>226000000</v>
      </c>
      <c r="AT21">
        <v>226000000</v>
      </c>
      <c r="AW21" t="s">
        <v>123</v>
      </c>
      <c r="AY21">
        <v>6220000000</v>
      </c>
      <c r="AZ21">
        <v>5001000000</v>
      </c>
      <c r="BA21">
        <v>7115000000</v>
      </c>
      <c r="BB21">
        <v>8429000000</v>
      </c>
      <c r="BC21">
        <v>8429000000</v>
      </c>
      <c r="BF21" t="s">
        <v>124</v>
      </c>
      <c r="BH21">
        <v>115000000</v>
      </c>
      <c r="BI21">
        <v>109000000</v>
      </c>
      <c r="BJ21">
        <v>159000000</v>
      </c>
      <c r="BK21">
        <v>226000000</v>
      </c>
      <c r="BL21">
        <v>226000000</v>
      </c>
      <c r="BN21" s="17" t="str">
        <f t="shared" si="0"/>
        <v>2025</v>
      </c>
      <c r="BO21" s="19" t="s">
        <v>262</v>
      </c>
      <c r="BP21" s="13">
        <v>63.169998168945313</v>
      </c>
      <c r="BQ21" s="13">
        <v>64.879997253417969</v>
      </c>
      <c r="BR21" s="13">
        <v>61.310001373291023</v>
      </c>
      <c r="BS21" s="13">
        <v>63.020000457763672</v>
      </c>
      <c r="BT21" s="13">
        <v>61.646682739257813</v>
      </c>
      <c r="BU21" s="13">
        <v>21865700</v>
      </c>
      <c r="BV21" s="13">
        <v>0</v>
      </c>
      <c r="BW21" s="14">
        <v>0</v>
      </c>
      <c r="BX21" t="s">
        <v>89</v>
      </c>
      <c r="BY21">
        <v>27913000960</v>
      </c>
      <c r="CE21" t="s">
        <v>125</v>
      </c>
      <c r="CG21">
        <v>1395000000</v>
      </c>
      <c r="CH21">
        <v>0</v>
      </c>
      <c r="CI21">
        <v>996000000</v>
      </c>
      <c r="CJ21">
        <v>2757000000</v>
      </c>
      <c r="CK21">
        <v>2757000000</v>
      </c>
      <c r="CN21" t="s">
        <v>126</v>
      </c>
    </row>
    <row r="22" spans="23:93" x14ac:dyDescent="0.25">
      <c r="AE22" t="s">
        <v>127</v>
      </c>
      <c r="AF22">
        <v>-8000000</v>
      </c>
      <c r="AG22">
        <v>-8000000</v>
      </c>
      <c r="AH22">
        <v>-9000000</v>
      </c>
      <c r="AI22">
        <v>-2000000</v>
      </c>
      <c r="AJ22">
        <v>-6000000</v>
      </c>
      <c r="AK22">
        <v>-25000000</v>
      </c>
      <c r="AN22" t="s">
        <v>128</v>
      </c>
      <c r="AO22">
        <v>21957000000</v>
      </c>
      <c r="AP22">
        <v>22368000000</v>
      </c>
      <c r="AQ22">
        <v>22871000000</v>
      </c>
      <c r="AR22">
        <v>23536000000</v>
      </c>
      <c r="AS22">
        <v>23214000000</v>
      </c>
      <c r="AT22">
        <v>23214000000</v>
      </c>
      <c r="AW22" t="s">
        <v>127</v>
      </c>
      <c r="AY22">
        <v>-23000000</v>
      </c>
      <c r="AZ22">
        <v>-38000000</v>
      </c>
      <c r="BA22">
        <v>-39000000</v>
      </c>
      <c r="BB22">
        <v>-25000000</v>
      </c>
      <c r="BC22">
        <v>-25000000</v>
      </c>
      <c r="BF22" t="s">
        <v>128</v>
      </c>
      <c r="BH22">
        <v>19649000000</v>
      </c>
      <c r="BI22">
        <v>21007000000</v>
      </c>
      <c r="BJ22">
        <v>21957000000</v>
      </c>
      <c r="BK22">
        <v>23214000000</v>
      </c>
      <c r="BL22">
        <v>23214000000</v>
      </c>
      <c r="BN22" s="17" t="str">
        <f t="shared" si="0"/>
        <v/>
      </c>
      <c r="BO22" s="19" t="s">
        <v>263</v>
      </c>
      <c r="BP22" s="13"/>
      <c r="BQ22" s="13"/>
      <c r="BR22" s="13"/>
      <c r="BS22" s="13"/>
      <c r="BT22" s="13"/>
      <c r="BU22" s="13"/>
      <c r="BV22" s="13">
        <v>0.67300000000000004</v>
      </c>
      <c r="BW22" s="14">
        <v>0</v>
      </c>
      <c r="BX22" t="s">
        <v>93</v>
      </c>
      <c r="BY22">
        <v>8977000448</v>
      </c>
      <c r="CE22" t="s">
        <v>129</v>
      </c>
      <c r="CG22">
        <v>95000000</v>
      </c>
      <c r="CH22">
        <v>183000000</v>
      </c>
      <c r="CI22">
        <v>-111000000</v>
      </c>
      <c r="CJ22">
        <v>-1569000000</v>
      </c>
      <c r="CK22">
        <v>-1569000000</v>
      </c>
      <c r="CN22" t="s">
        <v>130</v>
      </c>
      <c r="CO22">
        <v>6.28</v>
      </c>
    </row>
    <row r="23" spans="23:93" x14ac:dyDescent="0.25">
      <c r="Y23">
        <v>93517.46</v>
      </c>
      <c r="AE23" t="s">
        <v>131</v>
      </c>
      <c r="AF23">
        <v>1882000000</v>
      </c>
      <c r="AG23">
        <v>2171000000</v>
      </c>
      <c r="AH23">
        <v>2007000000</v>
      </c>
      <c r="AI23">
        <v>2096000000</v>
      </c>
      <c r="AJ23">
        <v>2180000000</v>
      </c>
      <c r="AK23">
        <v>8454000000</v>
      </c>
      <c r="AN23" t="s">
        <v>132</v>
      </c>
      <c r="AO23">
        <v>17011000000</v>
      </c>
      <c r="AP23">
        <v>17027000000</v>
      </c>
      <c r="AQ23">
        <v>16929000000</v>
      </c>
      <c r="AR23">
        <v>16867000000</v>
      </c>
      <c r="AS23">
        <v>16845000000</v>
      </c>
      <c r="AT23">
        <v>16845000000</v>
      </c>
      <c r="AW23" t="s">
        <v>131</v>
      </c>
      <c r="AY23">
        <v>6243000000</v>
      </c>
      <c r="AZ23">
        <v>5039000000</v>
      </c>
      <c r="BA23">
        <v>7154000000</v>
      </c>
      <c r="BB23">
        <v>8454000000</v>
      </c>
      <c r="BC23">
        <v>8454000000</v>
      </c>
      <c r="BF23" t="s">
        <v>132</v>
      </c>
      <c r="BH23">
        <v>14726000000</v>
      </c>
      <c r="BI23">
        <v>16082000000</v>
      </c>
      <c r="BJ23">
        <v>17011000000</v>
      </c>
      <c r="BK23">
        <v>16845000000</v>
      </c>
      <c r="BL23">
        <v>16845000000</v>
      </c>
      <c r="BN23" s="17" t="str">
        <f t="shared" si="0"/>
        <v/>
      </c>
      <c r="BO23" s="19" t="s">
        <v>264</v>
      </c>
      <c r="BP23" s="13">
        <v>64.980003356933594</v>
      </c>
      <c r="BQ23" s="13">
        <v>67.449996948242188</v>
      </c>
      <c r="BR23" s="13">
        <v>62.580001831054688</v>
      </c>
      <c r="BS23" s="13">
        <v>63.229999542236328</v>
      </c>
      <c r="BT23" s="13">
        <v>61.852104187011719</v>
      </c>
      <c r="BU23" s="13">
        <v>23817100</v>
      </c>
      <c r="BV23" s="13">
        <v>0</v>
      </c>
      <c r="BW23" s="14">
        <v>0</v>
      </c>
      <c r="BX23" t="s">
        <v>133</v>
      </c>
      <c r="BY23" t="s">
        <v>134</v>
      </c>
      <c r="CE23" t="s">
        <v>135</v>
      </c>
      <c r="CG23">
        <v>-134000000</v>
      </c>
      <c r="CH23">
        <v>0</v>
      </c>
      <c r="CI23">
        <v>-423000000</v>
      </c>
      <c r="CJ23">
        <v>-1731000000</v>
      </c>
      <c r="CK23">
        <v>-1738000000</v>
      </c>
      <c r="CN23" t="s">
        <v>136</v>
      </c>
    </row>
    <row r="24" spans="23:93" x14ac:dyDescent="0.25">
      <c r="Y24">
        <v>100.31</v>
      </c>
      <c r="AE24" t="s">
        <v>137</v>
      </c>
      <c r="AF24">
        <v>1882000000</v>
      </c>
      <c r="AG24">
        <v>2171000000</v>
      </c>
      <c r="AH24">
        <v>2007000000</v>
      </c>
      <c r="AI24">
        <v>2096000000</v>
      </c>
      <c r="AJ24">
        <v>2180000000</v>
      </c>
      <c r="AK24">
        <v>8454000000</v>
      </c>
      <c r="AN24" t="s">
        <v>138</v>
      </c>
      <c r="AO24">
        <v>4946000000</v>
      </c>
      <c r="AP24">
        <v>5341000000</v>
      </c>
      <c r="AQ24">
        <v>5942000000</v>
      </c>
      <c r="AR24">
        <v>6669000000</v>
      </c>
      <c r="AS24">
        <v>6369000000</v>
      </c>
      <c r="AT24">
        <v>6369000000</v>
      </c>
      <c r="AW24" t="s">
        <v>137</v>
      </c>
      <c r="AY24">
        <v>6243000000</v>
      </c>
      <c r="AZ24">
        <v>5039000000</v>
      </c>
      <c r="BA24">
        <v>7154000000</v>
      </c>
      <c r="BB24">
        <v>8454000000</v>
      </c>
      <c r="BC24">
        <v>8454000000</v>
      </c>
      <c r="BF24" t="s">
        <v>138</v>
      </c>
      <c r="BH24">
        <v>4923000000</v>
      </c>
      <c r="BI24">
        <v>4925000000</v>
      </c>
      <c r="BJ24">
        <v>4946000000</v>
      </c>
      <c r="BK24">
        <v>6369000000</v>
      </c>
      <c r="BL24">
        <v>6369000000</v>
      </c>
      <c r="BN24" s="17" t="str">
        <f t="shared" si="0"/>
        <v/>
      </c>
      <c r="BO24" s="19" t="s">
        <v>265</v>
      </c>
      <c r="BP24" s="13">
        <v>62.900001525878913</v>
      </c>
      <c r="BQ24" s="13">
        <v>65.889999389648438</v>
      </c>
      <c r="BR24" s="13">
        <v>62.669998168945313</v>
      </c>
      <c r="BS24" s="13">
        <v>64.760002136230469</v>
      </c>
      <c r="BT24" s="13">
        <v>62.687267303466797</v>
      </c>
      <c r="BU24" s="13">
        <v>13797900</v>
      </c>
      <c r="BV24" s="13">
        <v>0</v>
      </c>
      <c r="BW24" s="14">
        <v>0</v>
      </c>
      <c r="BX24" t="s">
        <v>139</v>
      </c>
      <c r="BY24" t="s">
        <v>102</v>
      </c>
      <c r="CE24" t="s">
        <v>140</v>
      </c>
      <c r="CG24">
        <v>229000000</v>
      </c>
      <c r="CH24">
        <v>183000000</v>
      </c>
      <c r="CI24">
        <v>312000000</v>
      </c>
      <c r="CJ24">
        <v>162000000</v>
      </c>
      <c r="CK24">
        <v>169000000</v>
      </c>
      <c r="CN24" t="s">
        <v>141</v>
      </c>
      <c r="CO24">
        <v>6220000000</v>
      </c>
    </row>
    <row r="25" spans="23:93" x14ac:dyDescent="0.25">
      <c r="W25" t="s">
        <v>72</v>
      </c>
      <c r="AE25" t="s">
        <v>142</v>
      </c>
      <c r="AF25">
        <v>525000000</v>
      </c>
      <c r="AG25">
        <v>659000000</v>
      </c>
      <c r="AH25">
        <v>591000000</v>
      </c>
      <c r="AI25">
        <v>623000000</v>
      </c>
      <c r="AJ25">
        <v>612000000</v>
      </c>
      <c r="AK25">
        <v>2485000000</v>
      </c>
      <c r="AN25" t="s">
        <v>143</v>
      </c>
      <c r="AO25">
        <v>982978000000</v>
      </c>
      <c r="AP25">
        <v>1020833000000</v>
      </c>
      <c r="AQ25">
        <v>1028197000000</v>
      </c>
      <c r="AR25">
        <v>1039379000000</v>
      </c>
      <c r="AS25">
        <v>1052525000000</v>
      </c>
      <c r="AT25">
        <v>1052525000000</v>
      </c>
      <c r="AW25" t="s">
        <v>142</v>
      </c>
      <c r="AY25">
        <v>1730000000</v>
      </c>
      <c r="AZ25">
        <v>1934000000</v>
      </c>
      <c r="BA25">
        <v>2012000000</v>
      </c>
      <c r="BB25">
        <v>2485000000</v>
      </c>
      <c r="BC25">
        <v>2485000000</v>
      </c>
      <c r="BF25" t="s">
        <v>143</v>
      </c>
      <c r="BH25">
        <v>893215000000</v>
      </c>
      <c r="BI25">
        <v>922527000000</v>
      </c>
      <c r="BJ25">
        <v>982978000000</v>
      </c>
      <c r="BK25">
        <v>1052525000000</v>
      </c>
      <c r="BL25">
        <v>1052525000000</v>
      </c>
      <c r="BN25" s="17" t="str">
        <f t="shared" si="0"/>
        <v/>
      </c>
      <c r="BO25" s="19" t="s">
        <v>266</v>
      </c>
      <c r="BP25" s="13">
        <v>61.209999084472663</v>
      </c>
      <c r="BQ25" s="13">
        <v>63.529998779296882</v>
      </c>
      <c r="BR25" s="13">
        <v>59.150001525878913</v>
      </c>
      <c r="BS25" s="13">
        <v>62.560001373291023</v>
      </c>
      <c r="BT25" s="13">
        <v>60.557682037353523</v>
      </c>
      <c r="BU25" s="13">
        <v>26159100</v>
      </c>
      <c r="BV25" s="13">
        <v>0</v>
      </c>
      <c r="BW25" s="14">
        <v>0</v>
      </c>
      <c r="CE25" t="s">
        <v>144</v>
      </c>
      <c r="CG25">
        <v>672000000</v>
      </c>
      <c r="CH25">
        <v>-81000000</v>
      </c>
      <c r="CI25">
        <v>427000000</v>
      </c>
      <c r="CJ25">
        <v>-128000000</v>
      </c>
      <c r="CK25">
        <v>-128000000</v>
      </c>
      <c r="CN25" t="s">
        <v>145</v>
      </c>
      <c r="CO25">
        <v>5001000000</v>
      </c>
    </row>
    <row r="26" spans="23:93" x14ac:dyDescent="0.25">
      <c r="AE26" t="s">
        <v>146</v>
      </c>
      <c r="AF26">
        <v>2407000000</v>
      </c>
      <c r="AG26">
        <v>2830000000</v>
      </c>
      <c r="AH26">
        <v>2598000000</v>
      </c>
      <c r="AI26">
        <v>2719000000</v>
      </c>
      <c r="AJ26">
        <v>2792000000</v>
      </c>
      <c r="AK26">
        <v>10939000000</v>
      </c>
      <c r="AN26" t="s">
        <v>147</v>
      </c>
      <c r="AO26">
        <v>40654000000</v>
      </c>
      <c r="AP26">
        <v>44902000000</v>
      </c>
      <c r="AQ26">
        <v>43945000000</v>
      </c>
      <c r="AR26">
        <v>36552000000</v>
      </c>
      <c r="AS26">
        <v>41411000000</v>
      </c>
      <c r="AT26">
        <v>41411000000</v>
      </c>
      <c r="AW26" t="s">
        <v>146</v>
      </c>
      <c r="AY26">
        <v>7973000000</v>
      </c>
      <c r="AZ26">
        <v>6973000000</v>
      </c>
      <c r="BA26">
        <v>9166000000</v>
      </c>
      <c r="BB26">
        <v>10939000000</v>
      </c>
      <c r="BC26">
        <v>10939000000</v>
      </c>
      <c r="BF26" t="s">
        <v>147</v>
      </c>
      <c r="BH26">
        <v>52340000000</v>
      </c>
      <c r="BI26">
        <v>41290000000</v>
      </c>
      <c r="BJ26">
        <v>40654000000</v>
      </c>
      <c r="BK26">
        <v>41411000000</v>
      </c>
      <c r="BL26">
        <v>41411000000</v>
      </c>
      <c r="BN26" s="17" t="str">
        <f t="shared" si="0"/>
        <v/>
      </c>
      <c r="BO26" s="19" t="s">
        <v>267</v>
      </c>
      <c r="BP26" s="13"/>
      <c r="BQ26" s="13"/>
      <c r="BR26" s="13"/>
      <c r="BS26" s="13"/>
      <c r="BT26" s="13"/>
      <c r="BU26" s="13"/>
      <c r="BV26" s="13">
        <v>0.66800000000000004</v>
      </c>
      <c r="BW26" s="14">
        <v>0</v>
      </c>
      <c r="CE26" t="s">
        <v>148</v>
      </c>
      <c r="CG26">
        <v>672000000</v>
      </c>
      <c r="CH26">
        <v>-81000000</v>
      </c>
      <c r="CI26">
        <v>427000000</v>
      </c>
      <c r="CJ26">
        <v>-128000000</v>
      </c>
      <c r="CK26">
        <v>-128000000</v>
      </c>
      <c r="CN26" t="s">
        <v>149</v>
      </c>
      <c r="CO26">
        <v>7115000000</v>
      </c>
    </row>
    <row r="27" spans="23:93" x14ac:dyDescent="0.25">
      <c r="AE27" t="s">
        <v>150</v>
      </c>
      <c r="AF27">
        <v>4000000</v>
      </c>
      <c r="AG27">
        <v>3000000</v>
      </c>
      <c r="AH27">
        <v>-1000000</v>
      </c>
      <c r="AI27">
        <v>0</v>
      </c>
      <c r="AJ27">
        <v>0</v>
      </c>
      <c r="AK27">
        <v>2000000</v>
      </c>
      <c r="AN27" t="s">
        <v>151</v>
      </c>
      <c r="AO27">
        <v>460000000</v>
      </c>
      <c r="AS27">
        <v>457000000</v>
      </c>
      <c r="AT27">
        <v>457000000</v>
      </c>
      <c r="AW27" t="s">
        <v>150</v>
      </c>
      <c r="AY27">
        <v>-311000000</v>
      </c>
      <c r="AZ27">
        <v>-1052000000</v>
      </c>
      <c r="BA27">
        <v>-102000000</v>
      </c>
      <c r="BB27">
        <v>2000000</v>
      </c>
      <c r="BC27">
        <v>2000000</v>
      </c>
      <c r="BF27" t="s">
        <v>151</v>
      </c>
      <c r="BH27">
        <v>477000000</v>
      </c>
      <c r="BI27">
        <v>462000000</v>
      </c>
      <c r="BJ27">
        <v>460000000</v>
      </c>
      <c r="BK27">
        <v>457000000</v>
      </c>
      <c r="BL27">
        <v>457000000</v>
      </c>
      <c r="BN27" s="17" t="str">
        <f t="shared" si="0"/>
        <v/>
      </c>
      <c r="BO27" s="19" t="s">
        <v>268</v>
      </c>
      <c r="BP27" s="13">
        <v>58.049999237060547</v>
      </c>
      <c r="BQ27" s="13">
        <v>62.669998168945313</v>
      </c>
      <c r="BR27" s="13">
        <v>57.419998168945313</v>
      </c>
      <c r="BS27" s="13">
        <v>61.340000152587891</v>
      </c>
      <c r="BT27" s="13">
        <v>59.376724243164063</v>
      </c>
      <c r="BU27" s="13">
        <v>29081500</v>
      </c>
      <c r="BV27" s="13">
        <v>0</v>
      </c>
      <c r="BW27" s="14">
        <v>0</v>
      </c>
      <c r="CE27" t="s">
        <v>152</v>
      </c>
      <c r="CG27">
        <v>-328000000</v>
      </c>
      <c r="CH27">
        <v>-1831000000</v>
      </c>
      <c r="CI27">
        <v>-1823000000</v>
      </c>
      <c r="CJ27">
        <v>-1378000000</v>
      </c>
      <c r="CK27">
        <v>-1378000000</v>
      </c>
      <c r="CN27" t="s">
        <v>153</v>
      </c>
      <c r="CO27">
        <v>8429000000</v>
      </c>
    </row>
    <row r="28" spans="23:93" x14ac:dyDescent="0.25">
      <c r="AE28" t="s">
        <v>154</v>
      </c>
      <c r="AF28">
        <v>-4000000</v>
      </c>
      <c r="AG28">
        <v>-3000000</v>
      </c>
      <c r="AH28">
        <v>1000000</v>
      </c>
      <c r="AJ28">
        <v>0</v>
      </c>
      <c r="AK28">
        <v>-2000000</v>
      </c>
      <c r="AN28" t="s">
        <v>155</v>
      </c>
      <c r="AO28">
        <v>460000000</v>
      </c>
      <c r="AS28">
        <v>457000000</v>
      </c>
      <c r="AT28">
        <v>457000000</v>
      </c>
      <c r="AW28" t="s">
        <v>154</v>
      </c>
      <c r="AY28">
        <v>130000000</v>
      </c>
      <c r="AZ28">
        <v>1052000000</v>
      </c>
      <c r="BA28">
        <v>102000000</v>
      </c>
      <c r="BB28">
        <v>-2000000</v>
      </c>
      <c r="BC28">
        <v>-2000000</v>
      </c>
      <c r="BF28" t="s">
        <v>155</v>
      </c>
      <c r="BH28">
        <v>477000000</v>
      </c>
      <c r="BI28">
        <v>462000000</v>
      </c>
      <c r="BJ28">
        <v>460000000</v>
      </c>
      <c r="BK28">
        <v>457000000</v>
      </c>
      <c r="BL28">
        <v>457000000</v>
      </c>
      <c r="BN28" s="17" t="str">
        <f t="shared" si="0"/>
        <v/>
      </c>
      <c r="BO28" s="19" t="s">
        <v>269</v>
      </c>
      <c r="BP28" s="13">
        <v>51.540000915527337</v>
      </c>
      <c r="BQ28" s="13">
        <v>59.110000610351563</v>
      </c>
      <c r="BR28" s="13">
        <v>47.549999237060547</v>
      </c>
      <c r="BS28" s="13">
        <v>58.439998626708977</v>
      </c>
      <c r="BT28" s="13">
        <v>55.962406158447273</v>
      </c>
      <c r="BU28" s="13">
        <v>25894500</v>
      </c>
      <c r="BV28" s="13">
        <v>0</v>
      </c>
      <c r="BW28" s="14">
        <v>0</v>
      </c>
      <c r="CE28" t="s">
        <v>156</v>
      </c>
      <c r="CG28">
        <v>1000000000</v>
      </c>
      <c r="CH28">
        <v>1750000000</v>
      </c>
      <c r="CI28">
        <v>2250000000</v>
      </c>
      <c r="CJ28">
        <v>1250000000</v>
      </c>
      <c r="CK28">
        <v>1250000000</v>
      </c>
      <c r="CN28" t="s">
        <v>157</v>
      </c>
    </row>
    <row r="29" spans="23:93" x14ac:dyDescent="0.25">
      <c r="AE29" t="s">
        <v>158</v>
      </c>
      <c r="AF29">
        <v>821000000</v>
      </c>
      <c r="AG29">
        <v>1174000000</v>
      </c>
      <c r="AH29">
        <v>1006000000</v>
      </c>
      <c r="AI29">
        <v>834000000</v>
      </c>
      <c r="AJ29">
        <v>994000000</v>
      </c>
      <c r="AK29">
        <v>4008000000</v>
      </c>
      <c r="AN29" t="s">
        <v>159</v>
      </c>
      <c r="AO29">
        <v>49000000</v>
      </c>
      <c r="AP29">
        <v>50000000</v>
      </c>
      <c r="AQ29">
        <v>49000000</v>
      </c>
      <c r="AR29">
        <v>47000000</v>
      </c>
      <c r="AS29">
        <v>47000000</v>
      </c>
      <c r="AT29">
        <v>47000000</v>
      </c>
      <c r="AW29" t="s">
        <v>160</v>
      </c>
      <c r="AX29">
        <v>0</v>
      </c>
      <c r="BF29" t="s">
        <v>159</v>
      </c>
      <c r="BH29">
        <v>45000000</v>
      </c>
      <c r="BI29">
        <v>40000000</v>
      </c>
      <c r="BJ29">
        <v>49000000</v>
      </c>
      <c r="BK29">
        <v>47000000</v>
      </c>
      <c r="BL29">
        <v>47000000</v>
      </c>
      <c r="BN29" s="17" t="str">
        <f t="shared" si="0"/>
        <v/>
      </c>
      <c r="BO29" s="19" t="s">
        <v>270</v>
      </c>
      <c r="BP29" s="13">
        <v>47.799999237060547</v>
      </c>
      <c r="BQ29" s="13">
        <v>52.029998779296882</v>
      </c>
      <c r="BR29" s="13">
        <v>47.110000610351563</v>
      </c>
      <c r="BS29" s="13">
        <v>51.689998626708977</v>
      </c>
      <c r="BT29" s="13">
        <v>49.498573303222663</v>
      </c>
      <c r="BU29" s="13">
        <v>26631100</v>
      </c>
      <c r="BV29" s="13">
        <v>0</v>
      </c>
      <c r="BW29" s="14">
        <v>0</v>
      </c>
      <c r="CE29" t="s">
        <v>161</v>
      </c>
      <c r="CG29">
        <v>-24391000000</v>
      </c>
      <c r="CH29">
        <v>-20763000000</v>
      </c>
      <c r="CI29">
        <v>-20751000000</v>
      </c>
      <c r="CJ29">
        <v>-5775000000</v>
      </c>
      <c r="CK29">
        <v>-5775000000</v>
      </c>
      <c r="CN29" t="s">
        <v>162</v>
      </c>
      <c r="CO29">
        <v>1874000000</v>
      </c>
    </row>
    <row r="30" spans="23:93" x14ac:dyDescent="0.25">
      <c r="AE30" t="s">
        <v>163</v>
      </c>
      <c r="AF30">
        <v>2310000000</v>
      </c>
      <c r="AG30">
        <v>2365000000</v>
      </c>
      <c r="AH30">
        <v>2347000000</v>
      </c>
      <c r="AI30">
        <v>2474000000</v>
      </c>
      <c r="AJ30">
        <v>2478000000</v>
      </c>
      <c r="AK30">
        <v>9664000000</v>
      </c>
      <c r="AN30" t="s">
        <v>164</v>
      </c>
      <c r="AO30">
        <v>49000000</v>
      </c>
      <c r="AP30">
        <v>50000000</v>
      </c>
      <c r="AQ30">
        <v>49000000</v>
      </c>
      <c r="AR30">
        <v>47000000</v>
      </c>
      <c r="AS30">
        <v>47000000</v>
      </c>
      <c r="AT30">
        <v>47000000</v>
      </c>
      <c r="AW30" t="s">
        <v>165</v>
      </c>
      <c r="AX30">
        <v>12000000</v>
      </c>
      <c r="AY30">
        <v>181000000</v>
      </c>
      <c r="AZ30">
        <v>0</v>
      </c>
      <c r="BF30" t="s">
        <v>164</v>
      </c>
      <c r="BH30">
        <v>45000000</v>
      </c>
      <c r="BI30">
        <v>40000000</v>
      </c>
      <c r="BJ30">
        <v>49000000</v>
      </c>
      <c r="BK30">
        <v>47000000</v>
      </c>
      <c r="BL30">
        <v>47000000</v>
      </c>
      <c r="BN30" s="17" t="str">
        <f t="shared" si="0"/>
        <v/>
      </c>
      <c r="BO30" s="19" t="s">
        <v>271</v>
      </c>
      <c r="BP30" s="13"/>
      <c r="BQ30" s="13"/>
      <c r="BR30" s="13"/>
      <c r="BS30" s="13"/>
      <c r="BT30" s="13"/>
      <c r="BU30" s="13"/>
      <c r="BV30" s="13">
        <v>0.65700000000000003</v>
      </c>
      <c r="BW30" s="14">
        <v>0</v>
      </c>
      <c r="CE30" t="s">
        <v>166</v>
      </c>
      <c r="CG30">
        <v>-24391000000</v>
      </c>
      <c r="CH30">
        <v>-20763000000</v>
      </c>
      <c r="CI30">
        <v>-20751000000</v>
      </c>
      <c r="CJ30">
        <v>-5775000000</v>
      </c>
      <c r="CK30">
        <v>-5775000000</v>
      </c>
      <c r="CN30" t="s">
        <v>167</v>
      </c>
      <c r="CO30">
        <v>2163000000</v>
      </c>
    </row>
    <row r="31" spans="23:93" x14ac:dyDescent="0.25">
      <c r="AE31" t="s">
        <v>168</v>
      </c>
      <c r="AF31">
        <v>103000000</v>
      </c>
      <c r="AG31">
        <v>88000000</v>
      </c>
      <c r="AH31">
        <v>92000000</v>
      </c>
      <c r="AI31">
        <v>97000000</v>
      </c>
      <c r="AJ31">
        <v>121000000</v>
      </c>
      <c r="AK31">
        <v>398000000</v>
      </c>
      <c r="AN31" t="s">
        <v>169</v>
      </c>
      <c r="AO31">
        <v>125096000000</v>
      </c>
      <c r="AP31">
        <v>133720000000</v>
      </c>
      <c r="AQ31">
        <v>127613000000</v>
      </c>
      <c r="AR31">
        <v>134092000000</v>
      </c>
      <c r="AS31">
        <v>140875000000</v>
      </c>
      <c r="AT31">
        <v>140875000000</v>
      </c>
      <c r="AW31" t="s">
        <v>158</v>
      </c>
      <c r="AY31">
        <v>1207000000</v>
      </c>
      <c r="AZ31">
        <v>2429000000</v>
      </c>
      <c r="BA31">
        <v>3269000000</v>
      </c>
      <c r="BB31">
        <v>4008000000</v>
      </c>
      <c r="BC31">
        <v>4008000000</v>
      </c>
      <c r="BF31" t="s">
        <v>169</v>
      </c>
      <c r="BH31">
        <v>107245000000</v>
      </c>
      <c r="BI31">
        <v>116844000000</v>
      </c>
      <c r="BJ31">
        <v>125096000000</v>
      </c>
      <c r="BK31">
        <v>140875000000</v>
      </c>
      <c r="BL31">
        <v>140875000000</v>
      </c>
      <c r="BN31" s="17" t="str">
        <f t="shared" si="0"/>
        <v/>
      </c>
      <c r="BO31" s="19" t="s">
        <v>272</v>
      </c>
      <c r="BP31" s="13">
        <v>50.150001525878913</v>
      </c>
      <c r="BQ31" s="13">
        <v>50.169998168945313</v>
      </c>
      <c r="BR31" s="13">
        <v>46.990001678466797</v>
      </c>
      <c r="BS31" s="13">
        <v>47.540000915527337</v>
      </c>
      <c r="BT31" s="13">
        <v>45.524517059326172</v>
      </c>
      <c r="BU31" s="13">
        <v>23287500</v>
      </c>
      <c r="BV31" s="13">
        <v>0</v>
      </c>
      <c r="BW31" s="14">
        <v>0</v>
      </c>
      <c r="CE31" t="s">
        <v>170</v>
      </c>
      <c r="CG31">
        <v>-20197000000</v>
      </c>
      <c r="CH31">
        <v>-19749000000</v>
      </c>
      <c r="CI31">
        <v>-19662000000</v>
      </c>
      <c r="CJ31">
        <v>-4666000000</v>
      </c>
      <c r="CK31">
        <v>-4666000000</v>
      </c>
      <c r="CN31" t="s">
        <v>171</v>
      </c>
      <c r="CO31">
        <v>1998000000</v>
      </c>
    </row>
    <row r="32" spans="23:93" x14ac:dyDescent="0.25">
      <c r="AE32" t="s">
        <v>172</v>
      </c>
      <c r="AF32">
        <v>2207000000</v>
      </c>
      <c r="AG32">
        <v>2277000000</v>
      </c>
      <c r="AH32">
        <v>2255000000</v>
      </c>
      <c r="AI32">
        <v>2377000000</v>
      </c>
      <c r="AJ32">
        <v>2357000000</v>
      </c>
      <c r="AK32">
        <v>9266000000</v>
      </c>
      <c r="AN32" t="s">
        <v>173</v>
      </c>
      <c r="AO32">
        <v>125096000000</v>
      </c>
      <c r="AP32">
        <v>133720000000</v>
      </c>
      <c r="AQ32">
        <v>127613000000</v>
      </c>
      <c r="AR32">
        <v>134092000000</v>
      </c>
      <c r="AS32">
        <v>140875000000</v>
      </c>
      <c r="AT32">
        <v>140875000000</v>
      </c>
      <c r="AW32" t="s">
        <v>163</v>
      </c>
      <c r="AY32">
        <v>7491000000</v>
      </c>
      <c r="AZ32">
        <v>7854000000</v>
      </c>
      <c r="BA32">
        <v>8605000000</v>
      </c>
      <c r="BB32">
        <v>9664000000</v>
      </c>
      <c r="BC32">
        <v>9664000000</v>
      </c>
      <c r="BF32" t="s">
        <v>173</v>
      </c>
      <c r="BH32">
        <v>107245000000</v>
      </c>
      <c r="BI32">
        <v>116844000000</v>
      </c>
      <c r="BJ32">
        <v>125096000000</v>
      </c>
      <c r="BK32">
        <v>140875000000</v>
      </c>
      <c r="BL32">
        <v>140875000000</v>
      </c>
      <c r="BN32" s="17" t="str">
        <f t="shared" si="0"/>
        <v/>
      </c>
      <c r="BO32" s="19" t="s">
        <v>273</v>
      </c>
      <c r="BP32" s="13">
        <v>46.709999084472663</v>
      </c>
      <c r="BQ32" s="13">
        <v>50.860000610351563</v>
      </c>
      <c r="BR32" s="13">
        <v>46.5</v>
      </c>
      <c r="BS32" s="13">
        <v>49.540000915527337</v>
      </c>
      <c r="BT32" s="13">
        <v>46.797351837158203</v>
      </c>
      <c r="BU32" s="13">
        <v>23642700</v>
      </c>
      <c r="BV32" s="13">
        <v>0</v>
      </c>
      <c r="BW32" s="14">
        <v>0</v>
      </c>
      <c r="CE32" t="s">
        <v>174</v>
      </c>
      <c r="CG32">
        <v>50757000000</v>
      </c>
      <c r="CH32">
        <v>59738000000</v>
      </c>
      <c r="CI32">
        <v>56866000000</v>
      </c>
      <c r="CJ32">
        <v>93703000000</v>
      </c>
      <c r="CK32">
        <v>93703000000</v>
      </c>
      <c r="CN32" t="s">
        <v>175</v>
      </c>
      <c r="CO32">
        <v>2094000000</v>
      </c>
    </row>
    <row r="33" spans="31:93" x14ac:dyDescent="0.25">
      <c r="AE33" t="s">
        <v>176</v>
      </c>
      <c r="AF33">
        <v>2207000000</v>
      </c>
      <c r="AG33">
        <v>2277000000</v>
      </c>
      <c r="AH33">
        <v>2255000000</v>
      </c>
      <c r="AI33">
        <v>2377000000</v>
      </c>
      <c r="AJ33">
        <v>2357000000</v>
      </c>
      <c r="AK33">
        <v>9266000000</v>
      </c>
      <c r="AN33" t="s">
        <v>177</v>
      </c>
      <c r="AO33">
        <v>83397000000</v>
      </c>
      <c r="AP33">
        <v>84253000000</v>
      </c>
      <c r="AQ33">
        <v>88123000000</v>
      </c>
      <c r="AR33">
        <v>89491000000</v>
      </c>
      <c r="AS33">
        <v>84905000000</v>
      </c>
      <c r="AT33">
        <v>84905000000</v>
      </c>
      <c r="AW33" t="s">
        <v>168</v>
      </c>
      <c r="AY33">
        <v>334000000</v>
      </c>
      <c r="AZ33">
        <v>304000000</v>
      </c>
      <c r="BA33">
        <v>344000000</v>
      </c>
      <c r="BB33">
        <v>398000000</v>
      </c>
      <c r="BC33">
        <v>398000000</v>
      </c>
      <c r="BF33" t="s">
        <v>177</v>
      </c>
      <c r="BH33">
        <v>80209000000</v>
      </c>
      <c r="BI33">
        <v>77656000000</v>
      </c>
      <c r="BJ33">
        <v>83397000000</v>
      </c>
      <c r="BK33">
        <v>84905000000</v>
      </c>
      <c r="BL33">
        <v>84905000000</v>
      </c>
      <c r="BN33" s="17" t="str">
        <f t="shared" si="0"/>
        <v/>
      </c>
      <c r="BO33" s="19" t="s">
        <v>274</v>
      </c>
      <c r="BP33" s="13">
        <v>50.529998779296882</v>
      </c>
      <c r="BQ33" s="13">
        <v>50.700000762939453</v>
      </c>
      <c r="BR33" s="13">
        <v>46.689998626708977</v>
      </c>
      <c r="BS33" s="13">
        <v>46.689998626708977</v>
      </c>
      <c r="BT33" s="13">
        <v>44.105133056640618</v>
      </c>
      <c r="BU33" s="13">
        <v>29292400</v>
      </c>
      <c r="BV33" s="13">
        <v>0</v>
      </c>
      <c r="BW33" s="14">
        <v>0</v>
      </c>
      <c r="CE33" t="s">
        <v>178</v>
      </c>
      <c r="CG33">
        <v>-70954000000</v>
      </c>
      <c r="CH33">
        <v>-79487000000</v>
      </c>
      <c r="CI33">
        <v>-76528000000</v>
      </c>
      <c r="CJ33">
        <v>-98369000000</v>
      </c>
      <c r="CK33">
        <v>-98369000000</v>
      </c>
      <c r="CN33" t="s">
        <v>179</v>
      </c>
      <c r="CO33">
        <v>2174000000</v>
      </c>
    </row>
    <row r="34" spans="31:93" x14ac:dyDescent="0.25">
      <c r="AE34" t="s">
        <v>180</v>
      </c>
      <c r="AF34">
        <v>6598000000</v>
      </c>
      <c r="AG34">
        <v>7252000000</v>
      </c>
      <c r="AH34">
        <v>6986000000</v>
      </c>
      <c r="AI34">
        <v>7225000000</v>
      </c>
      <c r="AJ34">
        <v>7550000000</v>
      </c>
      <c r="AK34">
        <v>29013000000</v>
      </c>
      <c r="AN34" t="s">
        <v>181</v>
      </c>
      <c r="AO34">
        <v>83397000000</v>
      </c>
      <c r="AP34">
        <v>84253000000</v>
      </c>
      <c r="AQ34">
        <v>88123000000</v>
      </c>
      <c r="AR34">
        <v>89491000000</v>
      </c>
      <c r="AS34">
        <v>84905000000</v>
      </c>
      <c r="AT34">
        <v>84905000000</v>
      </c>
      <c r="AW34" t="s">
        <v>172</v>
      </c>
      <c r="AY34">
        <v>7157000000</v>
      </c>
      <c r="AZ34">
        <v>7550000000</v>
      </c>
      <c r="BA34">
        <v>8261000000</v>
      </c>
      <c r="BB34">
        <v>9266000000</v>
      </c>
      <c r="BC34">
        <v>9266000000</v>
      </c>
      <c r="BF34" t="s">
        <v>181</v>
      </c>
      <c r="BH34">
        <v>80209000000</v>
      </c>
      <c r="BI34">
        <v>77656000000</v>
      </c>
      <c r="BJ34">
        <v>83397000000</v>
      </c>
      <c r="BK34">
        <v>84905000000</v>
      </c>
      <c r="BL34">
        <v>84905000000</v>
      </c>
      <c r="BN34" s="17" t="str">
        <f t="shared" si="0"/>
        <v/>
      </c>
      <c r="BO34" s="19" t="s">
        <v>275</v>
      </c>
      <c r="BP34" s="13"/>
      <c r="BQ34" s="13"/>
      <c r="BR34" s="13"/>
      <c r="BS34" s="13"/>
      <c r="BT34" s="13"/>
      <c r="BU34" s="13"/>
      <c r="BV34" s="13">
        <v>0.66300000000000003</v>
      </c>
      <c r="BW34" s="14">
        <v>0</v>
      </c>
      <c r="CE34" t="s">
        <v>182</v>
      </c>
      <c r="CF34">
        <v>0</v>
      </c>
      <c r="CG34">
        <v>-3085000000</v>
      </c>
      <c r="CH34">
        <v>0</v>
      </c>
    </row>
    <row r="35" spans="31:93" x14ac:dyDescent="0.25">
      <c r="AE35" t="s">
        <v>183</v>
      </c>
      <c r="AF35">
        <v>6598000000</v>
      </c>
      <c r="AG35">
        <v>7252000000</v>
      </c>
      <c r="AH35">
        <v>6986000000</v>
      </c>
      <c r="AI35">
        <v>7225000000</v>
      </c>
      <c r="AJ35">
        <v>7550000000</v>
      </c>
      <c r="AK35">
        <v>29013000000</v>
      </c>
      <c r="AN35" t="s">
        <v>184</v>
      </c>
      <c r="AO35">
        <v>0</v>
      </c>
      <c r="AP35">
        <v>0</v>
      </c>
      <c r="AQ35">
        <v>0</v>
      </c>
      <c r="AR35">
        <v>0</v>
      </c>
      <c r="AS35">
        <v>0</v>
      </c>
      <c r="AT35">
        <v>0</v>
      </c>
      <c r="AW35" t="s">
        <v>176</v>
      </c>
      <c r="AY35">
        <v>7157000000</v>
      </c>
      <c r="AZ35">
        <v>7550000000</v>
      </c>
      <c r="BA35">
        <v>8261000000</v>
      </c>
      <c r="BB35">
        <v>9266000000</v>
      </c>
      <c r="BC35">
        <v>9266000000</v>
      </c>
      <c r="BF35" t="s">
        <v>184</v>
      </c>
      <c r="BH35">
        <v>0</v>
      </c>
      <c r="BI35">
        <v>0</v>
      </c>
      <c r="BJ35">
        <v>0</v>
      </c>
      <c r="BK35">
        <v>0</v>
      </c>
      <c r="BL35">
        <v>0</v>
      </c>
      <c r="BN35" s="17" t="str">
        <f t="shared" si="0"/>
        <v/>
      </c>
      <c r="BO35" s="19" t="s">
        <v>276</v>
      </c>
      <c r="BP35" s="13">
        <v>47.830001831054688</v>
      </c>
      <c r="BQ35" s="13">
        <v>51.139999389648438</v>
      </c>
      <c r="BR35" s="13">
        <v>47.759998321533203</v>
      </c>
      <c r="BS35" s="13">
        <v>50.720001220703118</v>
      </c>
      <c r="BT35" s="13">
        <v>47.912029266357422</v>
      </c>
      <c r="BU35" s="13">
        <v>45196900</v>
      </c>
      <c r="BV35" s="13">
        <v>0</v>
      </c>
      <c r="BW35" s="14">
        <v>0</v>
      </c>
      <c r="CE35" t="s">
        <v>185</v>
      </c>
      <c r="CG35">
        <v>-3085000000</v>
      </c>
      <c r="CH35">
        <v>0</v>
      </c>
    </row>
    <row r="36" spans="31:93" x14ac:dyDescent="0.25">
      <c r="AE36" t="s">
        <v>186</v>
      </c>
      <c r="AF36">
        <v>931000000</v>
      </c>
      <c r="AG36">
        <v>897000000</v>
      </c>
      <c r="AH36">
        <v>893000000</v>
      </c>
      <c r="AI36">
        <v>936000000</v>
      </c>
      <c r="AJ36">
        <v>1067000000</v>
      </c>
      <c r="AK36">
        <v>3793000000</v>
      </c>
      <c r="AN36" t="s">
        <v>187</v>
      </c>
      <c r="AO36">
        <v>77332000000</v>
      </c>
      <c r="AP36">
        <v>78078000000</v>
      </c>
      <c r="AQ36">
        <v>81607000000</v>
      </c>
      <c r="AR36">
        <v>81324000000</v>
      </c>
      <c r="AS36">
        <v>76451000000</v>
      </c>
      <c r="AT36">
        <v>76451000000</v>
      </c>
      <c r="AW36" t="s">
        <v>180</v>
      </c>
      <c r="AY36">
        <v>21764000000</v>
      </c>
      <c r="AZ36">
        <v>23299000000</v>
      </c>
      <c r="BA36">
        <v>25526000000</v>
      </c>
      <c r="BB36">
        <v>29014000000</v>
      </c>
      <c r="BC36">
        <v>29014000000</v>
      </c>
      <c r="BF36" t="s">
        <v>187</v>
      </c>
      <c r="BH36">
        <v>65821000000</v>
      </c>
      <c r="BI36">
        <v>68977000000</v>
      </c>
      <c r="BJ36">
        <v>77332000000</v>
      </c>
      <c r="BK36">
        <v>76451000000</v>
      </c>
      <c r="BL36">
        <v>76451000000</v>
      </c>
      <c r="BN36" s="17" t="str">
        <f t="shared" si="0"/>
        <v/>
      </c>
      <c r="BO36" s="19" t="s">
        <v>277</v>
      </c>
      <c r="BP36" s="13">
        <v>45.159999847412109</v>
      </c>
      <c r="BQ36" s="13">
        <v>47.720001220703118</v>
      </c>
      <c r="BR36" s="13">
        <v>43.860000610351563</v>
      </c>
      <c r="BS36" s="13">
        <v>47.319999694824219</v>
      </c>
      <c r="BT36" s="13">
        <v>44.111061096191413</v>
      </c>
      <c r="BU36" s="13">
        <v>42601700</v>
      </c>
      <c r="BV36" s="13">
        <v>0</v>
      </c>
      <c r="BW36" s="14">
        <v>0</v>
      </c>
      <c r="CE36" t="s">
        <v>188</v>
      </c>
      <c r="CG36">
        <v>-1109000000</v>
      </c>
      <c r="CH36">
        <v>-1014000000</v>
      </c>
      <c r="CI36">
        <v>-1089000000</v>
      </c>
      <c r="CJ36">
        <v>-1109000000</v>
      </c>
      <c r="CK36">
        <v>-1109000000</v>
      </c>
    </row>
    <row r="37" spans="31:93" x14ac:dyDescent="0.25">
      <c r="AE37" t="s">
        <v>189</v>
      </c>
      <c r="AF37">
        <v>74000000</v>
      </c>
      <c r="AG37">
        <v>65000000</v>
      </c>
      <c r="AH37">
        <v>63000000</v>
      </c>
      <c r="AI37">
        <v>68000000</v>
      </c>
      <c r="AJ37">
        <v>88000000</v>
      </c>
      <c r="AK37">
        <v>284000000</v>
      </c>
      <c r="AN37" t="s">
        <v>190</v>
      </c>
      <c r="AO37">
        <v>6065000000</v>
      </c>
      <c r="AP37">
        <v>6175000000</v>
      </c>
      <c r="AQ37">
        <v>6516000000</v>
      </c>
      <c r="AR37">
        <v>8167000000</v>
      </c>
      <c r="AS37">
        <v>8454000000</v>
      </c>
      <c r="AT37">
        <v>8454000000</v>
      </c>
      <c r="AW37" t="s">
        <v>183</v>
      </c>
      <c r="AY37">
        <v>21764000000</v>
      </c>
      <c r="AZ37">
        <v>23299000000</v>
      </c>
      <c r="BA37">
        <v>25526000000</v>
      </c>
      <c r="BB37">
        <v>29014000000</v>
      </c>
      <c r="BC37">
        <v>29014000000</v>
      </c>
      <c r="BF37" t="s">
        <v>190</v>
      </c>
      <c r="BH37">
        <v>14388000000</v>
      </c>
      <c r="BI37">
        <v>8679000000</v>
      </c>
      <c r="BJ37">
        <v>6065000000</v>
      </c>
      <c r="BK37">
        <v>8454000000</v>
      </c>
      <c r="BL37">
        <v>8454000000</v>
      </c>
      <c r="BN37" s="17" t="str">
        <f t="shared" si="0"/>
        <v>2024</v>
      </c>
      <c r="BO37" s="19" t="s">
        <v>278</v>
      </c>
      <c r="BP37" s="13">
        <v>47.630001068115227</v>
      </c>
      <c r="BQ37" s="13">
        <v>48.110000610351563</v>
      </c>
      <c r="BR37" s="13">
        <v>44.970001220703118</v>
      </c>
      <c r="BS37" s="13">
        <v>45.180000305175781</v>
      </c>
      <c r="BT37" s="13">
        <v>42.116188049316413</v>
      </c>
      <c r="BU37" s="13">
        <v>30046400</v>
      </c>
      <c r="BV37" s="13">
        <v>0</v>
      </c>
      <c r="BW37" s="14">
        <v>0</v>
      </c>
      <c r="CE37" t="s">
        <v>191</v>
      </c>
      <c r="CG37">
        <v>22715000000</v>
      </c>
      <c r="CH37">
        <v>12154000000</v>
      </c>
      <c r="CI37">
        <v>11088000000</v>
      </c>
      <c r="CJ37">
        <v>13838000000</v>
      </c>
      <c r="CK37">
        <v>13838000000</v>
      </c>
    </row>
    <row r="38" spans="31:93" x14ac:dyDescent="0.25">
      <c r="AE38" t="s">
        <v>192</v>
      </c>
      <c r="AF38">
        <v>479000000</v>
      </c>
      <c r="AG38">
        <v>551000000</v>
      </c>
      <c r="AH38">
        <v>515000000</v>
      </c>
      <c r="AI38">
        <v>498000000</v>
      </c>
      <c r="AJ38">
        <v>546000000</v>
      </c>
      <c r="AK38">
        <v>2110000000</v>
      </c>
      <c r="AN38" t="s">
        <v>193</v>
      </c>
      <c r="AO38">
        <v>22493000000</v>
      </c>
      <c r="AS38">
        <v>24898000000</v>
      </c>
      <c r="AT38">
        <v>24898000000</v>
      </c>
      <c r="AW38" t="s">
        <v>186</v>
      </c>
      <c r="AY38">
        <v>3150000000</v>
      </c>
      <c r="AZ38">
        <v>3290000000</v>
      </c>
      <c r="BA38">
        <v>3549000000</v>
      </c>
      <c r="BB38">
        <v>3793000000</v>
      </c>
      <c r="BC38">
        <v>3793000000</v>
      </c>
      <c r="BF38" t="s">
        <v>193</v>
      </c>
      <c r="BH38">
        <v>19890000000</v>
      </c>
      <c r="BI38">
        <v>19202000000</v>
      </c>
      <c r="BJ38">
        <v>22493000000</v>
      </c>
      <c r="BK38">
        <v>24898000000</v>
      </c>
      <c r="BL38">
        <v>24898000000</v>
      </c>
      <c r="BN38" s="17" t="str">
        <f t="shared" si="0"/>
        <v/>
      </c>
      <c r="BO38" s="19" t="s">
        <v>279</v>
      </c>
      <c r="BP38" s="13"/>
      <c r="BQ38" s="13"/>
      <c r="BR38" s="13"/>
      <c r="BS38" s="13"/>
      <c r="BT38" s="13"/>
      <c r="BU38" s="13"/>
      <c r="BV38" s="13">
        <v>0.68200000000000005</v>
      </c>
      <c r="BW38" s="14">
        <v>0</v>
      </c>
      <c r="CE38" t="s">
        <v>194</v>
      </c>
      <c r="CG38">
        <v>22715000000</v>
      </c>
      <c r="CH38">
        <v>12154000000</v>
      </c>
      <c r="CI38">
        <v>11088000000</v>
      </c>
      <c r="CJ38">
        <v>13838000000</v>
      </c>
      <c r="CK38">
        <v>13838000000</v>
      </c>
    </row>
    <row r="39" spans="31:93" x14ac:dyDescent="0.25">
      <c r="AN39" t="s">
        <v>195</v>
      </c>
      <c r="AO39">
        <v>3899000000</v>
      </c>
      <c r="AS39">
        <v>5073000000</v>
      </c>
      <c r="AT39">
        <v>5073000000</v>
      </c>
      <c r="AW39" t="s">
        <v>189</v>
      </c>
      <c r="AY39">
        <v>313000000</v>
      </c>
      <c r="AZ39">
        <v>245000000</v>
      </c>
      <c r="BA39">
        <v>257000000</v>
      </c>
      <c r="BB39">
        <v>284000000</v>
      </c>
      <c r="BC39">
        <v>284000000</v>
      </c>
      <c r="BF39" t="s">
        <v>195</v>
      </c>
      <c r="BH39">
        <v>2737000000</v>
      </c>
      <c r="BI39">
        <v>2580000000</v>
      </c>
      <c r="BJ39">
        <v>3899000000</v>
      </c>
      <c r="BK39">
        <v>5073000000</v>
      </c>
      <c r="BL39">
        <v>5073000000</v>
      </c>
      <c r="BN39" s="17" t="str">
        <f t="shared" si="0"/>
        <v/>
      </c>
      <c r="BO39" s="19" t="s">
        <v>280</v>
      </c>
      <c r="BP39" s="13">
        <v>41.270000457763672</v>
      </c>
      <c r="BQ39" s="13">
        <v>48.919998168945313</v>
      </c>
      <c r="BR39" s="13">
        <v>41.090000152587891</v>
      </c>
      <c r="BS39" s="13">
        <v>48.139999389648438</v>
      </c>
      <c r="BT39" s="13">
        <v>44.875457763671882</v>
      </c>
      <c r="BU39" s="13">
        <v>37395600</v>
      </c>
      <c r="BV39" s="13">
        <v>0</v>
      </c>
      <c r="BW39" s="14">
        <v>0</v>
      </c>
      <c r="CE39" t="s">
        <v>196</v>
      </c>
      <c r="CG39">
        <v>15557000000</v>
      </c>
      <c r="CH39">
        <v>2297000000</v>
      </c>
      <c r="CI39">
        <v>2857000000</v>
      </c>
      <c r="CJ39">
        <v>2105000000</v>
      </c>
      <c r="CK39">
        <v>2105000000</v>
      </c>
    </row>
    <row r="40" spans="31:93" x14ac:dyDescent="0.25">
      <c r="AE40" t="s">
        <v>197</v>
      </c>
      <c r="AN40" t="s">
        <v>198</v>
      </c>
      <c r="AO40">
        <v>18594000000</v>
      </c>
      <c r="AS40">
        <v>19825000000</v>
      </c>
      <c r="AT40">
        <v>19825000000</v>
      </c>
      <c r="AW40" t="s">
        <v>192</v>
      </c>
      <c r="AY40">
        <v>1610000000</v>
      </c>
      <c r="AZ40">
        <v>1905000000</v>
      </c>
      <c r="BA40">
        <v>1925000000</v>
      </c>
      <c r="BB40">
        <v>2111000000</v>
      </c>
      <c r="BC40">
        <v>2111000000</v>
      </c>
      <c r="BF40" t="s">
        <v>198</v>
      </c>
      <c r="BH40">
        <v>17153000000</v>
      </c>
      <c r="BI40">
        <v>16622000000</v>
      </c>
      <c r="BJ40">
        <v>18594000000</v>
      </c>
      <c r="BK40">
        <v>19825000000</v>
      </c>
      <c r="BL40">
        <v>19825000000</v>
      </c>
      <c r="BN40" s="17" t="str">
        <f t="shared" si="0"/>
        <v/>
      </c>
      <c r="BO40" s="19" t="s">
        <v>281</v>
      </c>
      <c r="BP40" s="13">
        <v>35.349998474121087</v>
      </c>
      <c r="BQ40" s="13">
        <v>41.409999847412109</v>
      </c>
      <c r="BR40" s="13">
        <v>35.090000152587891</v>
      </c>
      <c r="BS40" s="13">
        <v>41.299999237060547</v>
      </c>
      <c r="BT40" s="13">
        <v>37.96136474609375</v>
      </c>
      <c r="BU40" s="13">
        <v>28992900</v>
      </c>
      <c r="BV40" s="13">
        <v>0</v>
      </c>
      <c r="BW40" s="14">
        <v>0</v>
      </c>
      <c r="CE40" t="s">
        <v>199</v>
      </c>
      <c r="CG40">
        <v>78249000000</v>
      </c>
      <c r="CH40">
        <v>17001000000</v>
      </c>
      <c r="CI40">
        <v>12548000000</v>
      </c>
      <c r="CJ40">
        <v>19510000000</v>
      </c>
      <c r="CK40">
        <v>19510000000</v>
      </c>
    </row>
    <row r="41" spans="31:93" x14ac:dyDescent="0.25">
      <c r="AE41" t="s">
        <v>28</v>
      </c>
      <c r="AF41">
        <v>872455.33859599999</v>
      </c>
      <c r="AG41">
        <v>699000</v>
      </c>
      <c r="AH41">
        <v>-227000</v>
      </c>
      <c r="AI41">
        <v>0</v>
      </c>
      <c r="AJ41">
        <v>0</v>
      </c>
      <c r="AK41">
        <v>472000</v>
      </c>
      <c r="AN41" t="s">
        <v>200</v>
      </c>
      <c r="AO41">
        <v>4459000000</v>
      </c>
      <c r="AS41">
        <v>5799000000</v>
      </c>
      <c r="AT41">
        <v>5799000000</v>
      </c>
      <c r="BF41" t="s">
        <v>200</v>
      </c>
      <c r="BH41">
        <v>5919000000</v>
      </c>
      <c r="BI41">
        <v>3381000000</v>
      </c>
      <c r="BJ41">
        <v>4459000000</v>
      </c>
      <c r="BK41">
        <v>5799000000</v>
      </c>
      <c r="BL41">
        <v>5799000000</v>
      </c>
      <c r="BN41" s="17" t="str">
        <f t="shared" si="0"/>
        <v/>
      </c>
      <c r="BO41" s="19" t="s">
        <v>282</v>
      </c>
      <c r="BP41" s="13">
        <v>38.400001525878913</v>
      </c>
      <c r="BQ41" s="13">
        <v>38.590000152587891</v>
      </c>
      <c r="BR41" s="13">
        <v>34.349998474121087</v>
      </c>
      <c r="BS41" s="13">
        <v>35.270000457763672</v>
      </c>
      <c r="BT41" s="13">
        <v>32.418827056884773</v>
      </c>
      <c r="BU41" s="13">
        <v>34148800</v>
      </c>
      <c r="BV41" s="13">
        <v>0</v>
      </c>
      <c r="BW41" s="14">
        <v>0</v>
      </c>
      <c r="CE41" t="s">
        <v>201</v>
      </c>
      <c r="CG41">
        <v>1228000000</v>
      </c>
      <c r="CH41">
        <v>2521000000</v>
      </c>
      <c r="CI41">
        <v>452000000</v>
      </c>
      <c r="CJ41">
        <v>-983000000</v>
      </c>
      <c r="CK41">
        <v>-983000000</v>
      </c>
    </row>
    <row r="42" spans="31:93" x14ac:dyDescent="0.25">
      <c r="AE42" t="s">
        <v>46</v>
      </c>
      <c r="AF42">
        <v>4000000</v>
      </c>
      <c r="AG42">
        <v>3000000</v>
      </c>
      <c r="AH42">
        <v>-1000000</v>
      </c>
      <c r="AI42">
        <v>0</v>
      </c>
      <c r="AJ42">
        <v>0</v>
      </c>
      <c r="AK42">
        <v>2000000</v>
      </c>
      <c r="AN42" t="s">
        <v>202</v>
      </c>
      <c r="AO42">
        <v>14135000000</v>
      </c>
      <c r="AS42">
        <v>14026000000</v>
      </c>
      <c r="AT42">
        <v>14026000000</v>
      </c>
      <c r="BF42" t="s">
        <v>202</v>
      </c>
      <c r="BH42">
        <v>11234000000</v>
      </c>
      <c r="BI42">
        <v>13241000000</v>
      </c>
      <c r="BJ42">
        <v>14135000000</v>
      </c>
      <c r="BK42">
        <v>14026000000</v>
      </c>
      <c r="BL42">
        <v>14026000000</v>
      </c>
      <c r="BN42" s="17" t="str">
        <f t="shared" si="0"/>
        <v/>
      </c>
      <c r="BO42" s="19" t="s">
        <v>283</v>
      </c>
      <c r="BP42" s="13"/>
      <c r="BQ42" s="13"/>
      <c r="BR42" s="13"/>
      <c r="BS42" s="13"/>
      <c r="BT42" s="13"/>
      <c r="BU42" s="13"/>
      <c r="BV42" s="13">
        <v>0.64400000000000002</v>
      </c>
      <c r="BW42" s="14">
        <v>0</v>
      </c>
      <c r="CE42" t="s">
        <v>203</v>
      </c>
      <c r="CG42">
        <v>1228000000</v>
      </c>
      <c r="CH42">
        <v>2521000000</v>
      </c>
      <c r="CI42">
        <v>452000000</v>
      </c>
      <c r="CJ42">
        <v>-983000000</v>
      </c>
      <c r="CK42">
        <v>-983000000</v>
      </c>
    </row>
    <row r="43" spans="31:93" x14ac:dyDescent="0.25">
      <c r="AE43" t="s">
        <v>52</v>
      </c>
      <c r="AF43">
        <v>4000000</v>
      </c>
      <c r="AG43">
        <v>3000000</v>
      </c>
      <c r="AH43">
        <v>-1000000</v>
      </c>
      <c r="AI43">
        <v>0</v>
      </c>
      <c r="AJ43">
        <v>0</v>
      </c>
      <c r="AK43">
        <v>2000000</v>
      </c>
      <c r="AN43" t="s">
        <v>204</v>
      </c>
      <c r="AO43">
        <v>1041985000000</v>
      </c>
      <c r="AP43">
        <v>1082464000000</v>
      </c>
      <c r="AQ43">
        <v>1090143000000</v>
      </c>
      <c r="AR43">
        <v>1102255000000</v>
      </c>
      <c r="AS43">
        <v>1116938000000</v>
      </c>
      <c r="AT43">
        <v>1116938000000</v>
      </c>
      <c r="BF43" t="s">
        <v>204</v>
      </c>
      <c r="BH43">
        <v>943597000000</v>
      </c>
      <c r="BI43">
        <v>975690000000</v>
      </c>
      <c r="BJ43">
        <v>1041985000000</v>
      </c>
      <c r="BK43">
        <v>1116938000000</v>
      </c>
      <c r="BL43">
        <v>1116938000000</v>
      </c>
      <c r="BN43" s="17" t="str">
        <f t="shared" si="0"/>
        <v/>
      </c>
      <c r="BO43" s="19" t="s">
        <v>284</v>
      </c>
      <c r="BP43" s="13">
        <v>39.849998474121087</v>
      </c>
      <c r="BQ43" s="13">
        <v>41.389999389648438</v>
      </c>
      <c r="BR43" s="13">
        <v>38.240001678466797</v>
      </c>
      <c r="BS43" s="13">
        <v>38.610000610351563</v>
      </c>
      <c r="BT43" s="13">
        <v>35.488826751708977</v>
      </c>
      <c r="BU43" s="13">
        <v>32410900</v>
      </c>
      <c r="BV43" s="13">
        <v>0</v>
      </c>
      <c r="BW43" s="14">
        <v>0</v>
      </c>
      <c r="CE43" t="s">
        <v>205</v>
      </c>
      <c r="CG43">
        <v>1228000000</v>
      </c>
      <c r="CH43">
        <v>2521000000</v>
      </c>
      <c r="CI43">
        <v>452000000</v>
      </c>
      <c r="CJ43">
        <v>-983000000</v>
      </c>
      <c r="CK43">
        <v>-983000000</v>
      </c>
    </row>
    <row r="44" spans="31:93" x14ac:dyDescent="0.25">
      <c r="AE44" t="s">
        <v>150</v>
      </c>
      <c r="AF44">
        <v>4000000</v>
      </c>
      <c r="AG44">
        <v>3000000</v>
      </c>
      <c r="AH44">
        <v>-1000000</v>
      </c>
      <c r="AI44">
        <v>0</v>
      </c>
      <c r="AJ44">
        <v>0</v>
      </c>
      <c r="AK44">
        <v>2000000</v>
      </c>
      <c r="AN44" t="s">
        <v>206</v>
      </c>
      <c r="AO44">
        <v>1378000000</v>
      </c>
      <c r="AS44">
        <v>1678000000</v>
      </c>
      <c r="AT44">
        <v>1678000000</v>
      </c>
      <c r="BF44" t="s">
        <v>206</v>
      </c>
      <c r="BH44">
        <v>1420000000</v>
      </c>
      <c r="BI44">
        <v>1055000000</v>
      </c>
      <c r="BJ44">
        <v>1378000000</v>
      </c>
      <c r="BK44">
        <v>1678000000</v>
      </c>
      <c r="BL44">
        <v>1678000000</v>
      </c>
      <c r="BN44" s="17" t="str">
        <f t="shared" si="0"/>
        <v/>
      </c>
      <c r="BO44" s="19" t="s">
        <v>285</v>
      </c>
      <c r="BP44" s="13">
        <v>43.759998321533203</v>
      </c>
      <c r="BQ44" s="13">
        <v>43.759998321533203</v>
      </c>
      <c r="BR44" s="13">
        <v>39.110000610351563</v>
      </c>
      <c r="BS44" s="13">
        <v>39.610000610351563</v>
      </c>
      <c r="BT44" s="13">
        <v>35.819019317626953</v>
      </c>
      <c r="BU44" s="13">
        <v>27008000</v>
      </c>
      <c r="BV44" s="13">
        <v>0</v>
      </c>
      <c r="BW44" s="14">
        <v>0</v>
      </c>
      <c r="CE44" t="s">
        <v>207</v>
      </c>
      <c r="CG44">
        <v>-959000000</v>
      </c>
      <c r="CH44">
        <v>-1272000000</v>
      </c>
      <c r="CI44">
        <v>-711000000</v>
      </c>
      <c r="CJ44">
        <v>44000000</v>
      </c>
      <c r="CK44">
        <v>44000000</v>
      </c>
    </row>
    <row r="45" spans="31:93" x14ac:dyDescent="0.25">
      <c r="AE45" t="s">
        <v>154</v>
      </c>
      <c r="AF45">
        <v>-4000000</v>
      </c>
      <c r="AG45">
        <v>-3000000</v>
      </c>
      <c r="AH45">
        <v>1000000</v>
      </c>
      <c r="AJ45">
        <v>0</v>
      </c>
      <c r="AK45">
        <v>-2000000</v>
      </c>
      <c r="AN45" t="s">
        <v>208</v>
      </c>
      <c r="AO45">
        <v>255130000000</v>
      </c>
      <c r="AP45">
        <v>273744000000</v>
      </c>
      <c r="AQ45">
        <v>270606000000</v>
      </c>
      <c r="AR45">
        <v>275769000000</v>
      </c>
      <c r="AS45">
        <v>284043000000</v>
      </c>
      <c r="AT45">
        <v>284043000000</v>
      </c>
      <c r="BF45" t="s">
        <v>208</v>
      </c>
      <c r="BH45">
        <v>176511000000</v>
      </c>
      <c r="BI45">
        <v>212017000000</v>
      </c>
      <c r="BJ45">
        <v>255130000000</v>
      </c>
      <c r="BK45">
        <v>284043000000</v>
      </c>
      <c r="BL45">
        <v>284043000000</v>
      </c>
      <c r="BN45" s="17" t="str">
        <f t="shared" si="0"/>
        <v/>
      </c>
      <c r="BO45" s="19" t="s">
        <v>286</v>
      </c>
      <c r="BP45" s="13">
        <v>42.659999847412109</v>
      </c>
      <c r="BQ45" s="13">
        <v>44.400001525878913</v>
      </c>
      <c r="BR45" s="13">
        <v>41.580001831054688</v>
      </c>
      <c r="BS45" s="13">
        <v>44.069999694824219</v>
      </c>
      <c r="BT45" s="13">
        <v>39.852165222167969</v>
      </c>
      <c r="BU45" s="13">
        <v>21182500</v>
      </c>
      <c r="BV45" s="13">
        <v>0</v>
      </c>
      <c r="BW45" s="14">
        <v>0</v>
      </c>
      <c r="CE45" t="s">
        <v>209</v>
      </c>
      <c r="CG45">
        <v>-959000000</v>
      </c>
      <c r="CH45">
        <v>-1272000000</v>
      </c>
      <c r="CI45">
        <v>-711000000</v>
      </c>
      <c r="CJ45">
        <v>44000000</v>
      </c>
      <c r="CK45">
        <v>44000000</v>
      </c>
    </row>
    <row r="46" spans="31:93" x14ac:dyDescent="0.25">
      <c r="AN46" t="s">
        <v>210</v>
      </c>
      <c r="AO46">
        <v>177652000000</v>
      </c>
      <c r="AP46">
        <v>193280000000</v>
      </c>
      <c r="AQ46">
        <v>186810000000</v>
      </c>
      <c r="AR46">
        <v>190904000000</v>
      </c>
      <c r="AS46">
        <v>246173000000</v>
      </c>
      <c r="AT46">
        <v>246173000000</v>
      </c>
      <c r="BF46" t="s">
        <v>210</v>
      </c>
      <c r="BH46">
        <v>119780000000</v>
      </c>
      <c r="BI46">
        <v>150017000000</v>
      </c>
      <c r="BJ46">
        <v>177652000000</v>
      </c>
      <c r="BK46">
        <v>246173000000</v>
      </c>
      <c r="BL46">
        <v>246173000000</v>
      </c>
      <c r="BN46" s="17" t="str">
        <f t="shared" si="0"/>
        <v/>
      </c>
      <c r="BO46" s="19" t="s">
        <v>287</v>
      </c>
      <c r="BP46" s="13"/>
      <c r="BQ46" s="13"/>
      <c r="BR46" s="13"/>
      <c r="BS46" s="13"/>
      <c r="BT46" s="13"/>
      <c r="BU46" s="13"/>
      <c r="BV46" s="13">
        <v>0.66200000000000003</v>
      </c>
      <c r="BW46" s="14">
        <v>0</v>
      </c>
      <c r="CE46" t="s">
        <v>211</v>
      </c>
      <c r="CG46">
        <v>-1126000000</v>
      </c>
      <c r="CH46">
        <v>1822000000</v>
      </c>
      <c r="CI46">
        <v>-1822000000</v>
      </c>
      <c r="CJ46">
        <v>-16000000</v>
      </c>
      <c r="CK46">
        <v>-16000000</v>
      </c>
    </row>
    <row r="47" spans="31:93" x14ac:dyDescent="0.25">
      <c r="AN47" t="s">
        <v>212</v>
      </c>
      <c r="AO47">
        <v>785000000</v>
      </c>
      <c r="AP47">
        <v>703000000</v>
      </c>
      <c r="AQ47">
        <v>765000000</v>
      </c>
      <c r="AR47">
        <v>772000000</v>
      </c>
      <c r="AS47">
        <v>808000000</v>
      </c>
      <c r="AT47">
        <v>808000000</v>
      </c>
      <c r="BF47" t="s">
        <v>212</v>
      </c>
      <c r="BH47">
        <v>632000000</v>
      </c>
      <c r="BI47">
        <v>669000000</v>
      </c>
      <c r="BJ47">
        <v>785000000</v>
      </c>
      <c r="BK47">
        <v>808000000</v>
      </c>
      <c r="BL47">
        <v>808000000</v>
      </c>
      <c r="BN47" s="17" t="str">
        <f t="shared" si="0"/>
        <v/>
      </c>
      <c r="BO47" s="19" t="s">
        <v>288</v>
      </c>
      <c r="BP47" s="13">
        <v>41.229999542236328</v>
      </c>
      <c r="BQ47" s="13">
        <v>44.439998626708977</v>
      </c>
      <c r="BR47" s="13">
        <v>40.770000457763672</v>
      </c>
      <c r="BS47" s="13">
        <v>42.680000305175781</v>
      </c>
      <c r="BT47" s="13">
        <v>38.595199584960938</v>
      </c>
      <c r="BU47" s="13">
        <v>31044200</v>
      </c>
      <c r="BV47" s="13">
        <v>0</v>
      </c>
      <c r="BW47" s="14">
        <v>0</v>
      </c>
      <c r="CE47" t="s">
        <v>213</v>
      </c>
      <c r="CG47">
        <v>24000000</v>
      </c>
      <c r="CH47">
        <v>13000000</v>
      </c>
      <c r="CI47">
        <v>16000000</v>
      </c>
      <c r="CJ47">
        <v>20000000</v>
      </c>
      <c r="CK47">
        <v>20000000</v>
      </c>
    </row>
    <row r="48" spans="31:93" x14ac:dyDescent="0.25">
      <c r="AN48" t="s">
        <v>214</v>
      </c>
      <c r="AO48">
        <v>8273000000</v>
      </c>
      <c r="AP48">
        <v>8444000000</v>
      </c>
      <c r="AQ48">
        <v>8213000000</v>
      </c>
      <c r="AR48">
        <v>8252000000</v>
      </c>
      <c r="AS48">
        <v>8369000000</v>
      </c>
      <c r="AT48">
        <v>8369000000</v>
      </c>
      <c r="BF48" t="s">
        <v>214</v>
      </c>
      <c r="BH48">
        <v>7940000000</v>
      </c>
      <c r="BI48">
        <v>8167000000</v>
      </c>
      <c r="BJ48">
        <v>8273000000</v>
      </c>
      <c r="BK48">
        <v>8369000000</v>
      </c>
      <c r="BL48">
        <v>8369000000</v>
      </c>
      <c r="BN48" s="17" t="str">
        <f t="shared" si="0"/>
        <v/>
      </c>
      <c r="BO48" s="19" t="s">
        <v>289</v>
      </c>
      <c r="BP48" s="13">
        <v>41.959999084472663</v>
      </c>
      <c r="BQ48" s="13">
        <v>42.520000457763672</v>
      </c>
      <c r="BR48" s="13">
        <v>39.630001068115227</v>
      </c>
      <c r="BS48" s="13">
        <v>41.209999084472663</v>
      </c>
      <c r="BT48" s="13">
        <v>36.68975830078125</v>
      </c>
      <c r="BU48" s="13">
        <v>23492400</v>
      </c>
      <c r="BV48" s="13">
        <v>0</v>
      </c>
      <c r="BW48" s="14">
        <v>0</v>
      </c>
      <c r="CE48" t="s">
        <v>215</v>
      </c>
      <c r="CG48">
        <v>-46000000</v>
      </c>
      <c r="CH48">
        <v>-84000000</v>
      </c>
      <c r="CI48">
        <v>-244000000</v>
      </c>
      <c r="CJ48">
        <v>-257000000</v>
      </c>
      <c r="CK48">
        <v>-257000000</v>
      </c>
    </row>
    <row r="49" spans="40:89" x14ac:dyDescent="0.25">
      <c r="AN49" t="s">
        <v>216</v>
      </c>
      <c r="AO49">
        <v>2830000000</v>
      </c>
      <c r="AP49">
        <v>2809000000</v>
      </c>
      <c r="AQ49">
        <v>2813000000</v>
      </c>
      <c r="AR49">
        <v>2830000000</v>
      </c>
      <c r="AS49">
        <v>2894000000</v>
      </c>
      <c r="AT49">
        <v>2894000000</v>
      </c>
      <c r="BF49" t="s">
        <v>216</v>
      </c>
      <c r="BH49">
        <v>2592000000</v>
      </c>
      <c r="BI49">
        <v>2742000000</v>
      </c>
      <c r="BJ49">
        <v>2830000000</v>
      </c>
      <c r="BK49">
        <v>2894000000</v>
      </c>
      <c r="BL49">
        <v>2894000000</v>
      </c>
      <c r="BN49" s="17" t="str">
        <f t="shared" si="0"/>
        <v/>
      </c>
      <c r="BO49" s="19" t="s">
        <v>290</v>
      </c>
      <c r="BP49" s="13">
        <v>42.669998168945313</v>
      </c>
      <c r="BQ49" s="13">
        <v>43.939998626708977</v>
      </c>
      <c r="BR49" s="13">
        <v>40.659999847412109</v>
      </c>
      <c r="BS49" s="13">
        <v>41.950000762939453</v>
      </c>
      <c r="BT49" s="13">
        <v>37.348587036132813</v>
      </c>
      <c r="BU49" s="13">
        <v>16943400</v>
      </c>
      <c r="BV49" s="13">
        <v>0</v>
      </c>
      <c r="BW49" s="14">
        <v>0</v>
      </c>
      <c r="CE49" t="s">
        <v>217</v>
      </c>
      <c r="CG49">
        <v>-46000000</v>
      </c>
      <c r="CH49">
        <v>-84000000</v>
      </c>
      <c r="CI49">
        <v>-244000000</v>
      </c>
      <c r="CJ49">
        <v>-257000000</v>
      </c>
      <c r="CK49">
        <v>-257000000</v>
      </c>
    </row>
    <row r="50" spans="40:89" x14ac:dyDescent="0.25">
      <c r="AN50" t="s">
        <v>218</v>
      </c>
      <c r="AO50">
        <v>5443000000</v>
      </c>
      <c r="AP50">
        <v>5635000000</v>
      </c>
      <c r="AQ50">
        <v>5400000000</v>
      </c>
      <c r="AR50">
        <v>5422000000</v>
      </c>
      <c r="AS50">
        <v>5475000000</v>
      </c>
      <c r="AT50">
        <v>5475000000</v>
      </c>
      <c r="BF50" t="s">
        <v>218</v>
      </c>
      <c r="BH50">
        <v>5348000000</v>
      </c>
      <c r="BI50">
        <v>5425000000</v>
      </c>
      <c r="BJ50">
        <v>5443000000</v>
      </c>
      <c r="BK50">
        <v>5475000000</v>
      </c>
      <c r="BL50">
        <v>5475000000</v>
      </c>
      <c r="BN50" s="17" t="str">
        <f t="shared" si="0"/>
        <v/>
      </c>
      <c r="BO50" s="19" t="s">
        <v>291</v>
      </c>
      <c r="BP50" s="13"/>
      <c r="BQ50" s="13"/>
      <c r="BR50" s="13"/>
      <c r="BS50" s="13"/>
      <c r="BT50" s="13"/>
      <c r="BU50" s="13"/>
      <c r="BV50" s="13">
        <v>0.61799999999999999</v>
      </c>
      <c r="BW50" s="14">
        <v>0</v>
      </c>
      <c r="CE50" t="s">
        <v>219</v>
      </c>
      <c r="CG50">
        <v>1047000000</v>
      </c>
      <c r="CH50">
        <v>1143000000</v>
      </c>
      <c r="CI50">
        <v>1170000000</v>
      </c>
      <c r="CJ50">
        <v>1178000000</v>
      </c>
      <c r="CK50">
        <v>1178000000</v>
      </c>
    </row>
    <row r="51" spans="40:89" x14ac:dyDescent="0.25">
      <c r="AN51" t="s">
        <v>220</v>
      </c>
      <c r="AO51">
        <v>3359000000</v>
      </c>
      <c r="AP51">
        <v>3359000000</v>
      </c>
      <c r="AQ51">
        <v>3277000000</v>
      </c>
      <c r="AR51">
        <v>3274000000</v>
      </c>
      <c r="AS51">
        <v>3443000000</v>
      </c>
      <c r="AT51">
        <v>3443000000</v>
      </c>
      <c r="BF51" t="s">
        <v>220</v>
      </c>
      <c r="BH51">
        <v>3377000000</v>
      </c>
      <c r="BI51">
        <v>3251000000</v>
      </c>
      <c r="BJ51">
        <v>3359000000</v>
      </c>
      <c r="BK51">
        <v>3443000000</v>
      </c>
      <c r="BL51">
        <v>3443000000</v>
      </c>
      <c r="BN51" s="17" t="str">
        <f t="shared" si="0"/>
        <v/>
      </c>
      <c r="BO51" s="19" t="s">
        <v>292</v>
      </c>
      <c r="BP51" s="13">
        <v>45.680000305175781</v>
      </c>
      <c r="BQ51" s="13">
        <v>46.720001220703118</v>
      </c>
      <c r="BR51" s="13">
        <v>39.970001220703118</v>
      </c>
      <c r="BS51" s="13">
        <v>42.419998168945313</v>
      </c>
      <c r="BT51" s="13">
        <v>37.767036437988281</v>
      </c>
      <c r="BU51" s="13">
        <v>39346100</v>
      </c>
      <c r="BV51" s="13">
        <v>0</v>
      </c>
      <c r="BW51" s="14">
        <v>0</v>
      </c>
      <c r="CE51" t="s">
        <v>221</v>
      </c>
      <c r="CG51">
        <v>1047000000</v>
      </c>
      <c r="CH51">
        <v>1143000000</v>
      </c>
      <c r="CI51">
        <v>1170000000</v>
      </c>
      <c r="CJ51">
        <v>1178000000</v>
      </c>
      <c r="CK51">
        <v>1178000000</v>
      </c>
    </row>
    <row r="52" spans="40:89" x14ac:dyDescent="0.25">
      <c r="AN52" t="s">
        <v>222</v>
      </c>
      <c r="AO52">
        <v>-4118000000</v>
      </c>
      <c r="AS52">
        <v>-4236000000</v>
      </c>
      <c r="AT52">
        <v>-4236000000</v>
      </c>
      <c r="BF52" t="s">
        <v>222</v>
      </c>
      <c r="BH52">
        <v>-3547000000</v>
      </c>
      <c r="BI52">
        <v>-3746000000</v>
      </c>
      <c r="BJ52">
        <v>-4118000000</v>
      </c>
      <c r="BK52">
        <v>-4236000000</v>
      </c>
      <c r="BL52">
        <v>-4236000000</v>
      </c>
      <c r="BN52" s="17" t="str">
        <f t="shared" si="0"/>
        <v/>
      </c>
      <c r="BO52" s="19" t="s">
        <v>293</v>
      </c>
      <c r="BP52" s="13">
        <v>45.599998474121087</v>
      </c>
      <c r="BQ52" s="13">
        <v>46.930000305175781</v>
      </c>
      <c r="BR52" s="13">
        <v>44.560001373291023</v>
      </c>
      <c r="BS52" s="13">
        <v>45.729999542236328</v>
      </c>
      <c r="BT52" s="13">
        <v>40.105030059814453</v>
      </c>
      <c r="BU52" s="13">
        <v>19043000</v>
      </c>
      <c r="BV52" s="13">
        <v>0</v>
      </c>
      <c r="BW52" s="14">
        <v>0</v>
      </c>
      <c r="CE52" t="s">
        <v>223</v>
      </c>
      <c r="CG52">
        <v>1047000000</v>
      </c>
      <c r="CH52">
        <v>1143000000</v>
      </c>
      <c r="CI52">
        <v>1170000000</v>
      </c>
      <c r="CJ52">
        <v>1178000000</v>
      </c>
      <c r="CK52">
        <v>1178000000</v>
      </c>
    </row>
    <row r="53" spans="40:89" x14ac:dyDescent="0.25">
      <c r="AN53" t="s">
        <v>224</v>
      </c>
      <c r="AO53">
        <v>7477000000</v>
      </c>
      <c r="AS53">
        <v>7679000000</v>
      </c>
      <c r="AT53">
        <v>7679000000</v>
      </c>
      <c r="BF53" t="s">
        <v>224</v>
      </c>
      <c r="BH53">
        <v>6924000000</v>
      </c>
      <c r="BI53">
        <v>6997000000</v>
      </c>
      <c r="BJ53">
        <v>7477000000</v>
      </c>
      <c r="BK53">
        <v>7679000000</v>
      </c>
      <c r="BL53">
        <v>7679000000</v>
      </c>
      <c r="BN53" s="17" t="str">
        <f t="shared" si="0"/>
        <v>2023</v>
      </c>
      <c r="BO53" s="19" t="s">
        <v>294</v>
      </c>
      <c r="BP53" s="13">
        <v>40.560001373291023</v>
      </c>
      <c r="BQ53" s="13">
        <v>45.680000305175781</v>
      </c>
      <c r="BR53" s="13">
        <v>40.220001220703118</v>
      </c>
      <c r="BS53" s="13">
        <v>45.619998931884773</v>
      </c>
      <c r="BT53" s="13">
        <v>40.008560180664063</v>
      </c>
      <c r="BU53" s="13">
        <v>16845100</v>
      </c>
      <c r="BV53" s="13">
        <v>0</v>
      </c>
      <c r="BW53" s="14">
        <v>0</v>
      </c>
      <c r="CE53" t="s">
        <v>225</v>
      </c>
      <c r="CG53">
        <v>1047000000</v>
      </c>
      <c r="CH53">
        <v>1143000000</v>
      </c>
      <c r="CI53">
        <v>1170000000</v>
      </c>
      <c r="CJ53">
        <v>1178000000</v>
      </c>
      <c r="CK53">
        <v>1178000000</v>
      </c>
    </row>
    <row r="54" spans="40:89" x14ac:dyDescent="0.25">
      <c r="AN54" t="s">
        <v>226</v>
      </c>
      <c r="AO54">
        <v>1670000000</v>
      </c>
      <c r="AS54">
        <v>1825000000</v>
      </c>
      <c r="AT54">
        <v>1825000000</v>
      </c>
      <c r="BF54" t="s">
        <v>226</v>
      </c>
      <c r="BH54">
        <v>1468000000</v>
      </c>
      <c r="BI54">
        <v>1572000000</v>
      </c>
      <c r="BJ54">
        <v>1670000000</v>
      </c>
      <c r="BK54">
        <v>1825000000</v>
      </c>
      <c r="BL54">
        <v>1825000000</v>
      </c>
      <c r="BN54" s="17" t="str">
        <f t="shared" si="0"/>
        <v/>
      </c>
      <c r="BO54" s="19" t="s">
        <v>295</v>
      </c>
      <c r="BP54" s="13"/>
      <c r="BQ54" s="13"/>
      <c r="BR54" s="13"/>
      <c r="BS54" s="13"/>
      <c r="BT54" s="13"/>
      <c r="BU54" s="13"/>
      <c r="BV54" s="13">
        <v>0.623</v>
      </c>
      <c r="BW54" s="14">
        <v>0</v>
      </c>
      <c r="CE54" t="s">
        <v>227</v>
      </c>
      <c r="CG54">
        <v>-41000000</v>
      </c>
      <c r="CH54">
        <v>-86000000</v>
      </c>
      <c r="CI54">
        <v>-44000000</v>
      </c>
      <c r="CJ54">
        <v>12000000</v>
      </c>
      <c r="CK54">
        <v>12000000</v>
      </c>
    </row>
    <row r="55" spans="40:89" x14ac:dyDescent="0.25">
      <c r="AN55" t="s">
        <v>228</v>
      </c>
      <c r="AO55">
        <v>2933000000</v>
      </c>
      <c r="AS55">
        <v>3054000000</v>
      </c>
      <c r="AT55">
        <v>3054000000</v>
      </c>
      <c r="BF55" t="s">
        <v>228</v>
      </c>
      <c r="BH55">
        <v>2591000000</v>
      </c>
      <c r="BI55">
        <v>2692000000</v>
      </c>
      <c r="BJ55">
        <v>2933000000</v>
      </c>
      <c r="BK55">
        <v>3054000000</v>
      </c>
      <c r="BL55">
        <v>3054000000</v>
      </c>
      <c r="BN55" s="17" t="str">
        <f t="shared" si="0"/>
        <v/>
      </c>
      <c r="BO55" s="19" t="s">
        <v>296</v>
      </c>
      <c r="BP55" s="13">
        <v>47.380001068115227</v>
      </c>
      <c r="BQ55" s="13">
        <v>47.380001068115227</v>
      </c>
      <c r="BR55" s="13">
        <v>39.400001525878913</v>
      </c>
      <c r="BS55" s="13">
        <v>40.450000762939453</v>
      </c>
      <c r="BT55" s="13">
        <v>35.474494934082031</v>
      </c>
      <c r="BU55" s="13">
        <v>27520300</v>
      </c>
      <c r="BV55" s="13">
        <v>0</v>
      </c>
      <c r="BW55" s="14">
        <v>0</v>
      </c>
      <c r="CE55" t="s">
        <v>229</v>
      </c>
      <c r="CG55">
        <v>-35000000</v>
      </c>
      <c r="CH55">
        <v>-83000000</v>
      </c>
      <c r="CI55">
        <v>-43000000</v>
      </c>
      <c r="CJ55">
        <v>14000000</v>
      </c>
      <c r="CK55">
        <v>14000000</v>
      </c>
    </row>
    <row r="56" spans="40:89" x14ac:dyDescent="0.25">
      <c r="AN56" t="s">
        <v>230</v>
      </c>
      <c r="AO56">
        <v>2043000000</v>
      </c>
      <c r="AS56">
        <v>1936000000</v>
      </c>
      <c r="AT56">
        <v>1936000000</v>
      </c>
      <c r="BF56" t="s">
        <v>230</v>
      </c>
      <c r="BH56">
        <v>2081000000</v>
      </c>
      <c r="BI56">
        <v>1929000000</v>
      </c>
      <c r="BJ56">
        <v>2043000000</v>
      </c>
      <c r="BK56">
        <v>1936000000</v>
      </c>
      <c r="BL56">
        <v>1936000000</v>
      </c>
      <c r="BN56" s="17" t="str">
        <f t="shared" si="0"/>
        <v/>
      </c>
      <c r="BO56" s="19" t="s">
        <v>297</v>
      </c>
      <c r="BP56" s="13">
        <v>46</v>
      </c>
      <c r="BQ56" s="13">
        <v>48.849998474121087</v>
      </c>
      <c r="BR56" s="13">
        <v>43.930000305175781</v>
      </c>
      <c r="BS56" s="13">
        <v>48.169998168945313</v>
      </c>
      <c r="BT56" s="13">
        <v>41.595863342285163</v>
      </c>
      <c r="BU56" s="13">
        <v>14991900</v>
      </c>
      <c r="BV56" s="13">
        <v>0</v>
      </c>
      <c r="BW56" s="14">
        <v>0</v>
      </c>
      <c r="CE56" t="s">
        <v>231</v>
      </c>
      <c r="CG56">
        <v>-6000000</v>
      </c>
      <c r="CH56">
        <v>-3000000</v>
      </c>
      <c r="CI56">
        <v>-1000000</v>
      </c>
      <c r="CJ56">
        <v>-2000000</v>
      </c>
      <c r="CK56">
        <v>-2000000</v>
      </c>
    </row>
    <row r="57" spans="40:89" x14ac:dyDescent="0.25">
      <c r="AN57" t="s">
        <v>232</v>
      </c>
      <c r="AO57">
        <v>831000000</v>
      </c>
      <c r="AS57">
        <v>864000000</v>
      </c>
      <c r="AT57">
        <v>864000000</v>
      </c>
      <c r="BF57" t="s">
        <v>232</v>
      </c>
      <c r="BH57">
        <v>784000000</v>
      </c>
      <c r="BI57">
        <v>804000000</v>
      </c>
      <c r="BJ57">
        <v>831000000</v>
      </c>
      <c r="BK57">
        <v>864000000</v>
      </c>
      <c r="BL57">
        <v>864000000</v>
      </c>
      <c r="BN57" s="17" t="str">
        <f t="shared" si="0"/>
        <v/>
      </c>
      <c r="BO57" s="19" t="s">
        <v>298</v>
      </c>
      <c r="BP57" s="13">
        <v>44.450000762939453</v>
      </c>
      <c r="BQ57" s="13">
        <v>46.599998474121087</v>
      </c>
      <c r="BR57" s="13">
        <v>39.720001220703118</v>
      </c>
      <c r="BS57" s="13">
        <v>45.409999847412109</v>
      </c>
      <c r="BT57" s="13">
        <v>39.212535858154297</v>
      </c>
      <c r="BU57" s="13">
        <v>22803600</v>
      </c>
      <c r="BV57" s="13">
        <v>0</v>
      </c>
      <c r="BW57" s="14">
        <v>0</v>
      </c>
      <c r="CE57" t="s">
        <v>233</v>
      </c>
      <c r="CG57">
        <v>6243000000</v>
      </c>
      <c r="CH57">
        <v>5039000000</v>
      </c>
      <c r="CI57">
        <v>7154000000</v>
      </c>
      <c r="CJ57">
        <v>8454000000</v>
      </c>
      <c r="CK57">
        <v>8454000000</v>
      </c>
    </row>
    <row r="58" spans="40:89" x14ac:dyDescent="0.25">
      <c r="AN58" t="s">
        <v>234</v>
      </c>
      <c r="AO58">
        <v>588000000</v>
      </c>
      <c r="AS58">
        <v>595000000</v>
      </c>
      <c r="AT58">
        <v>595000000</v>
      </c>
      <c r="BF58" t="s">
        <v>234</v>
      </c>
      <c r="BH58">
        <v>652000000</v>
      </c>
      <c r="BI58">
        <v>607000000</v>
      </c>
      <c r="BJ58">
        <v>588000000</v>
      </c>
      <c r="BK58">
        <v>595000000</v>
      </c>
      <c r="BL58">
        <v>595000000</v>
      </c>
      <c r="BN58" s="17" t="str">
        <f t="shared" si="0"/>
        <v/>
      </c>
      <c r="BO58" s="19" t="s">
        <v>299</v>
      </c>
      <c r="BP58" s="13"/>
      <c r="BQ58" s="13"/>
      <c r="BR58" s="13"/>
      <c r="BS58" s="13"/>
      <c r="BT58" s="13"/>
      <c r="BU58" s="13"/>
      <c r="BV58" s="13">
        <v>0.60399999999999998</v>
      </c>
      <c r="BW58" s="14">
        <v>0</v>
      </c>
    </row>
    <row r="59" spans="40:89" x14ac:dyDescent="0.25">
      <c r="AN59" t="s">
        <v>235</v>
      </c>
      <c r="AO59">
        <v>15129000000</v>
      </c>
      <c r="AS59">
        <v>16911000000</v>
      </c>
      <c r="AT59">
        <v>16911000000</v>
      </c>
      <c r="BF59" t="s">
        <v>235</v>
      </c>
      <c r="BH59">
        <v>19757000000</v>
      </c>
      <c r="BI59">
        <v>13928000000</v>
      </c>
      <c r="BJ59">
        <v>15129000000</v>
      </c>
      <c r="BK59">
        <v>16911000000</v>
      </c>
      <c r="BL59">
        <v>16911000000</v>
      </c>
      <c r="BN59" s="17" t="str">
        <f t="shared" si="0"/>
        <v/>
      </c>
      <c r="BO59" s="19" t="s">
        <v>300</v>
      </c>
      <c r="BP59" s="13">
        <v>47.060001373291023</v>
      </c>
      <c r="BQ59" s="13">
        <v>49.950000762939453</v>
      </c>
      <c r="BR59" s="13">
        <v>43.169998168945313</v>
      </c>
      <c r="BS59" s="13">
        <v>43.759998321533203</v>
      </c>
      <c r="BT59" s="13">
        <v>37.787723541259773</v>
      </c>
      <c r="BU59" s="13">
        <v>27205000</v>
      </c>
      <c r="BV59" s="13">
        <v>0</v>
      </c>
      <c r="BW59" s="14">
        <v>0</v>
      </c>
    </row>
    <row r="60" spans="40:89" x14ac:dyDescent="0.25">
      <c r="AN60" t="s">
        <v>236</v>
      </c>
      <c r="AO60">
        <v>9678000000</v>
      </c>
      <c r="AS60">
        <v>11044000000</v>
      </c>
      <c r="AT60">
        <v>11044000000</v>
      </c>
      <c r="BF60" t="s">
        <v>236</v>
      </c>
      <c r="BH60">
        <v>16474000000</v>
      </c>
      <c r="BI60">
        <v>9575000000</v>
      </c>
      <c r="BJ60">
        <v>9678000000</v>
      </c>
      <c r="BK60">
        <v>11044000000</v>
      </c>
      <c r="BL60">
        <v>11044000000</v>
      </c>
      <c r="BN60" s="17" t="str">
        <f t="shared" si="0"/>
        <v/>
      </c>
      <c r="BO60" s="19" t="s">
        <v>301</v>
      </c>
      <c r="BP60" s="13">
        <v>50.409999847412109</v>
      </c>
      <c r="BQ60" s="13">
        <v>53.360000610351563</v>
      </c>
      <c r="BR60" s="13">
        <v>47.299999237060547</v>
      </c>
      <c r="BS60" s="13">
        <v>47.310001373291023</v>
      </c>
      <c r="BT60" s="13">
        <v>40.299846649169922</v>
      </c>
      <c r="BU60" s="13">
        <v>14732500</v>
      </c>
      <c r="BV60" s="13">
        <v>0</v>
      </c>
      <c r="BW60" s="14">
        <v>0</v>
      </c>
    </row>
    <row r="61" spans="40:89" x14ac:dyDescent="0.25">
      <c r="AN61" t="s">
        <v>237</v>
      </c>
      <c r="AO61">
        <v>5451000000</v>
      </c>
      <c r="AS61">
        <v>5867000000</v>
      </c>
      <c r="AT61">
        <v>5867000000</v>
      </c>
      <c r="BF61" t="s">
        <v>237</v>
      </c>
      <c r="BH61">
        <v>3283000000</v>
      </c>
      <c r="BI61">
        <v>4353000000</v>
      </c>
      <c r="BJ61">
        <v>5451000000</v>
      </c>
      <c r="BK61">
        <v>5867000000</v>
      </c>
      <c r="BL61">
        <v>5867000000</v>
      </c>
      <c r="BN61" s="17" t="str">
        <f t="shared" si="0"/>
        <v/>
      </c>
      <c r="BO61" s="19" t="s">
        <v>302</v>
      </c>
      <c r="BP61" s="13">
        <v>48.380001068115227</v>
      </c>
      <c r="BQ61" s="13">
        <v>50.990001678466797</v>
      </c>
      <c r="BR61" s="13">
        <v>45.090000152587891</v>
      </c>
      <c r="BS61" s="13">
        <v>50.590000152587891</v>
      </c>
      <c r="BT61" s="13">
        <v>43.093837738037109</v>
      </c>
      <c r="BU61" s="13">
        <v>14636800</v>
      </c>
      <c r="BV61" s="13">
        <v>0</v>
      </c>
      <c r="BW61" s="14">
        <v>0</v>
      </c>
    </row>
    <row r="62" spans="40:89" x14ac:dyDescent="0.25">
      <c r="AN62" t="s">
        <v>238</v>
      </c>
      <c r="AO62">
        <v>76693000000</v>
      </c>
      <c r="AP62">
        <v>79761000000</v>
      </c>
      <c r="AQ62">
        <v>83031000000</v>
      </c>
      <c r="AR62">
        <v>84093000000</v>
      </c>
      <c r="AS62">
        <v>37062000000</v>
      </c>
      <c r="AT62">
        <v>37062000000</v>
      </c>
      <c r="BF62" t="s">
        <v>238</v>
      </c>
      <c r="BH62">
        <v>56099000000</v>
      </c>
      <c r="BI62">
        <v>61331000000</v>
      </c>
      <c r="BJ62">
        <v>76693000000</v>
      </c>
      <c r="BK62">
        <v>37062000000</v>
      </c>
      <c r="BL62">
        <v>37062000000</v>
      </c>
      <c r="BN62" s="17" t="str">
        <f t="shared" si="0"/>
        <v/>
      </c>
      <c r="BO62" s="19" t="s">
        <v>303</v>
      </c>
      <c r="BP62" s="13"/>
      <c r="BQ62" s="13"/>
      <c r="BR62" s="13"/>
      <c r="BS62" s="13"/>
      <c r="BT62" s="13"/>
      <c r="BU62" s="13"/>
      <c r="BV62" s="13">
        <v>0.64400000000000002</v>
      </c>
      <c r="BW62" s="14">
        <v>0</v>
      </c>
    </row>
    <row r="63" spans="40:89" x14ac:dyDescent="0.25">
      <c r="AN63" t="s">
        <v>239</v>
      </c>
      <c r="AO63">
        <v>56031000000</v>
      </c>
      <c r="AP63">
        <v>47811000000</v>
      </c>
      <c r="AQ63">
        <v>49586000000</v>
      </c>
      <c r="AR63">
        <v>55187000000</v>
      </c>
      <c r="AS63">
        <v>55748000000</v>
      </c>
      <c r="AT63">
        <v>55748000000</v>
      </c>
      <c r="BF63" t="s">
        <v>239</v>
      </c>
      <c r="BH63">
        <v>73328000000</v>
      </c>
      <c r="BI63">
        <v>63170000000</v>
      </c>
      <c r="BJ63">
        <v>56031000000</v>
      </c>
      <c r="BK63">
        <v>55748000000</v>
      </c>
      <c r="BL63">
        <v>55748000000</v>
      </c>
      <c r="BN63" s="17" t="str">
        <f t="shared" si="0"/>
        <v/>
      </c>
      <c r="BO63" s="19" t="s">
        <v>304</v>
      </c>
      <c r="BP63" s="13">
        <v>55.560001373291023</v>
      </c>
      <c r="BQ63" s="13">
        <v>56.680000305175781</v>
      </c>
      <c r="BR63" s="13">
        <v>47.450000762939453</v>
      </c>
      <c r="BS63" s="13">
        <v>48.540000915527337</v>
      </c>
      <c r="BT63" s="13">
        <v>41.347602844238281</v>
      </c>
      <c r="BU63" s="13">
        <v>22873500</v>
      </c>
      <c r="BV63" s="13">
        <v>0</v>
      </c>
      <c r="BW63" s="14">
        <v>0</v>
      </c>
    </row>
    <row r="64" spans="40:89" x14ac:dyDescent="0.25">
      <c r="AN64" t="s">
        <v>240</v>
      </c>
      <c r="AO64">
        <v>8565000000</v>
      </c>
      <c r="AP64">
        <v>13530000000</v>
      </c>
      <c r="AQ64">
        <v>14011000000</v>
      </c>
      <c r="AR64">
        <v>19101000000</v>
      </c>
      <c r="AS64">
        <v>12379000000</v>
      </c>
      <c r="AT64">
        <v>12379000000</v>
      </c>
      <c r="BF64" t="s">
        <v>241</v>
      </c>
      <c r="BG64">
        <v>3005000000</v>
      </c>
      <c r="BN64" s="17" t="str">
        <f t="shared" si="0"/>
        <v/>
      </c>
      <c r="BO64" s="19" t="s">
        <v>305</v>
      </c>
      <c r="BP64" s="13"/>
      <c r="BQ64" s="13"/>
      <c r="BR64" s="13"/>
      <c r="BS64" s="13"/>
      <c r="BT64" s="13"/>
      <c r="BU64" s="13"/>
      <c r="BV64" s="13">
        <v>0</v>
      </c>
      <c r="BW64" s="14">
        <v>2</v>
      </c>
    </row>
    <row r="65" spans="40:75" x14ac:dyDescent="0.25">
      <c r="AN65" t="s">
        <v>242</v>
      </c>
      <c r="AO65">
        <v>139752000000</v>
      </c>
      <c r="AP65">
        <v>133954000000</v>
      </c>
      <c r="AQ65">
        <v>140847000000</v>
      </c>
      <c r="AR65">
        <v>141397000000</v>
      </c>
      <c r="AS65">
        <v>142443000000</v>
      </c>
      <c r="AT65">
        <v>142443000000</v>
      </c>
      <c r="BF65" t="s">
        <v>240</v>
      </c>
      <c r="BH65">
        <v>31535000000</v>
      </c>
      <c r="BI65">
        <v>20816000000</v>
      </c>
      <c r="BJ65">
        <v>8565000000</v>
      </c>
      <c r="BK65">
        <v>12379000000</v>
      </c>
      <c r="BL65">
        <v>12379000000</v>
      </c>
      <c r="BN65" s="17" t="str">
        <f t="shared" si="0"/>
        <v/>
      </c>
      <c r="BO65" s="19" t="s">
        <v>306</v>
      </c>
      <c r="BP65" s="13">
        <v>55.224998474121087</v>
      </c>
      <c r="BQ65" s="13">
        <v>56.349998474121087</v>
      </c>
      <c r="BR65" s="13">
        <v>51.139999389648438</v>
      </c>
      <c r="BS65" s="13">
        <v>55.020000457763672</v>
      </c>
      <c r="BT65" s="13">
        <v>46.251701354980469</v>
      </c>
      <c r="BU65" s="13">
        <v>18590900</v>
      </c>
      <c r="BV65" s="13">
        <v>0</v>
      </c>
      <c r="BW65" s="14">
        <v>0</v>
      </c>
    </row>
    <row r="66" spans="40:75" x14ac:dyDescent="0.25">
      <c r="BF66" t="s">
        <v>242</v>
      </c>
      <c r="BH66">
        <v>142541000000</v>
      </c>
      <c r="BI66">
        <v>143354000000</v>
      </c>
      <c r="BJ66">
        <v>139752000000</v>
      </c>
      <c r="BK66">
        <v>142443000000</v>
      </c>
      <c r="BL66">
        <v>142443000000</v>
      </c>
      <c r="BN66" s="17" t="str">
        <f t="shared" si="0"/>
        <v/>
      </c>
      <c r="BO66" s="19" t="s">
        <v>307</v>
      </c>
      <c r="BP66" s="13">
        <v>61.224998474121087</v>
      </c>
      <c r="BQ66" s="13">
        <v>61.409999847412109</v>
      </c>
      <c r="BR66" s="13">
        <v>54.799999237060547</v>
      </c>
      <c r="BS66" s="13">
        <v>55.275001525878913</v>
      </c>
      <c r="BT66" s="13">
        <v>46.466060638427727</v>
      </c>
      <c r="BU66" s="13">
        <v>19620200</v>
      </c>
      <c r="BV66" s="13">
        <v>0</v>
      </c>
      <c r="BW66" s="14">
        <v>0</v>
      </c>
    </row>
    <row r="67" spans="40:75" x14ac:dyDescent="0.25">
      <c r="BN67" s="17" t="str">
        <f t="shared" si="0"/>
        <v/>
      </c>
      <c r="BO67" s="19" t="s">
        <v>308</v>
      </c>
      <c r="BP67" s="13"/>
      <c r="BQ67" s="13"/>
      <c r="BR67" s="13"/>
      <c r="BS67" s="13"/>
      <c r="BT67" s="13"/>
      <c r="BU67" s="13"/>
      <c r="BV67" s="13">
        <v>0.64300000000000002</v>
      </c>
      <c r="BW67" s="14">
        <v>0</v>
      </c>
    </row>
    <row r="68" spans="40:75" x14ac:dyDescent="0.25">
      <c r="BN68" s="17" t="str">
        <f t="shared" si="0"/>
        <v/>
      </c>
      <c r="BO68" s="19" t="s">
        <v>309</v>
      </c>
      <c r="BP68" s="13">
        <v>62.985000610351563</v>
      </c>
      <c r="BQ68" s="13">
        <v>65.805000305175781</v>
      </c>
      <c r="BR68" s="13">
        <v>59.979999542236328</v>
      </c>
      <c r="BS68" s="13">
        <v>60.845001220703118</v>
      </c>
      <c r="BT68" s="13">
        <v>51.148399353027337</v>
      </c>
      <c r="BU68" s="13">
        <v>28831800</v>
      </c>
      <c r="BV68" s="13">
        <v>0</v>
      </c>
      <c r="BW68" s="14">
        <v>0</v>
      </c>
    </row>
    <row r="69" spans="40:75" x14ac:dyDescent="0.25">
      <c r="BN69" s="17" t="str">
        <f t="shared" si="0"/>
        <v/>
      </c>
      <c r="BO69" s="19" t="s">
        <v>310</v>
      </c>
      <c r="BP69" s="13">
        <v>62.994998931884773</v>
      </c>
      <c r="BQ69" s="13">
        <v>65.889999389648438</v>
      </c>
      <c r="BR69" s="13">
        <v>59.514999389648438</v>
      </c>
      <c r="BS69" s="13">
        <v>63.205001831054688</v>
      </c>
      <c r="BT69" s="13">
        <v>52.593215942382813</v>
      </c>
      <c r="BU69" s="13">
        <v>18416200</v>
      </c>
      <c r="BV69" s="13">
        <v>0</v>
      </c>
      <c r="BW69" s="14">
        <v>0</v>
      </c>
    </row>
    <row r="70" spans="40:75" x14ac:dyDescent="0.25">
      <c r="BN70" s="17" t="str">
        <f t="shared" si="0"/>
        <v>2022</v>
      </c>
      <c r="BO70" s="19" t="s">
        <v>311</v>
      </c>
      <c r="BP70" s="13">
        <v>58.294998168945313</v>
      </c>
      <c r="BQ70" s="13">
        <v>66.239997863769531</v>
      </c>
      <c r="BR70" s="13">
        <v>58.294998168945313</v>
      </c>
      <c r="BS70" s="13">
        <v>62.759998321533203</v>
      </c>
      <c r="BT70" s="13">
        <v>52.222927093505859</v>
      </c>
      <c r="BU70" s="13">
        <v>20115200</v>
      </c>
      <c r="BV70" s="13">
        <v>0</v>
      </c>
      <c r="BW70" s="14">
        <v>0</v>
      </c>
    </row>
    <row r="71" spans="40:75" x14ac:dyDescent="0.25">
      <c r="BN71" s="17" t="str">
        <f t="shared" si="0"/>
        <v/>
      </c>
      <c r="BO71" s="19" t="s">
        <v>312</v>
      </c>
      <c r="BP71" s="13">
        <v>57.040000915527337</v>
      </c>
      <c r="BQ71" s="13">
        <v>58.845001220703118</v>
      </c>
      <c r="BR71" s="13">
        <v>51.485000610351563</v>
      </c>
      <c r="BS71" s="13">
        <v>58.279998779296882</v>
      </c>
      <c r="BT71" s="13">
        <v>48.495101928710938</v>
      </c>
      <c r="BU71" s="13">
        <v>22308000</v>
      </c>
      <c r="BV71" s="13">
        <v>0</v>
      </c>
      <c r="BW71" s="14">
        <v>0</v>
      </c>
    </row>
    <row r="72" spans="40:75" x14ac:dyDescent="0.25">
      <c r="BN72" s="17" t="str">
        <f t="shared" ref="BN72:BN135" si="1">IF(RIGHT(BO72,5)="01/01",LEFT(BO72,4),"")</f>
        <v/>
      </c>
      <c r="BO72" s="19" t="s">
        <v>313</v>
      </c>
      <c r="BP72" s="13">
        <v>61.040000915527337</v>
      </c>
      <c r="BQ72" s="13">
        <v>61.564998626708977</v>
      </c>
      <c r="BR72" s="13">
        <v>55.439998626708977</v>
      </c>
      <c r="BS72" s="13">
        <v>55.735000610351563</v>
      </c>
      <c r="BT72" s="13">
        <v>46.377388000488281</v>
      </c>
      <c r="BU72" s="13">
        <v>22622000</v>
      </c>
      <c r="BV72" s="13">
        <v>0</v>
      </c>
      <c r="BW72" s="14">
        <v>0</v>
      </c>
    </row>
    <row r="73" spans="40:75" x14ac:dyDescent="0.25">
      <c r="BN73" s="17" t="str">
        <f t="shared" si="1"/>
        <v/>
      </c>
      <c r="BO73" s="19" t="s">
        <v>314</v>
      </c>
      <c r="BP73" s="13">
        <v>55.884998321533203</v>
      </c>
      <c r="BQ73" s="13">
        <v>61.354999542236328</v>
      </c>
      <c r="BR73" s="13">
        <v>55.465000152587891</v>
      </c>
      <c r="BS73" s="13">
        <v>60.630001068115227</v>
      </c>
      <c r="BT73" s="13">
        <v>50.450542449951172</v>
      </c>
      <c r="BU73" s="13">
        <v>16666800</v>
      </c>
      <c r="BV73" s="13">
        <v>0</v>
      </c>
      <c r="BW73" s="14">
        <v>0</v>
      </c>
    </row>
    <row r="74" spans="40:75" x14ac:dyDescent="0.25">
      <c r="BN74" s="17" t="str">
        <f t="shared" si="1"/>
        <v/>
      </c>
      <c r="BO74" s="19" t="s">
        <v>315</v>
      </c>
      <c r="BP74" s="13"/>
      <c r="BQ74" s="13"/>
      <c r="BR74" s="13"/>
      <c r="BS74" s="13"/>
      <c r="BT74" s="13"/>
      <c r="BU74" s="13"/>
      <c r="BV74" s="13">
        <v>0.57699999999999996</v>
      </c>
      <c r="BW74" s="14">
        <v>0</v>
      </c>
    </row>
    <row r="75" spans="40:75" x14ac:dyDescent="0.25">
      <c r="BN75" s="17" t="str">
        <f t="shared" si="1"/>
        <v/>
      </c>
      <c r="BO75" s="19" t="s">
        <v>316</v>
      </c>
      <c r="BP75" s="13">
        <v>57.555000305175781</v>
      </c>
      <c r="BQ75" s="13">
        <v>58.560001373291023</v>
      </c>
      <c r="BR75" s="13">
        <v>54.904998779296882</v>
      </c>
      <c r="BS75" s="13">
        <v>55.650001525878913</v>
      </c>
      <c r="BT75" s="13">
        <v>46.306667327880859</v>
      </c>
      <c r="BU75" s="13">
        <v>19917000</v>
      </c>
      <c r="BV75" s="13">
        <v>0</v>
      </c>
      <c r="BW75" s="14">
        <v>0</v>
      </c>
    </row>
    <row r="76" spans="40:75" x14ac:dyDescent="0.25">
      <c r="BN76" s="17" t="str">
        <f t="shared" si="1"/>
        <v/>
      </c>
      <c r="BO76" s="19" t="s">
        <v>317</v>
      </c>
      <c r="BP76" s="13">
        <v>58.299999237060547</v>
      </c>
      <c r="BQ76" s="13">
        <v>60.555000305175781</v>
      </c>
      <c r="BR76" s="13">
        <v>56.455001831054688</v>
      </c>
      <c r="BS76" s="13">
        <v>57.505001068115227</v>
      </c>
      <c r="BT76" s="13">
        <v>47.371089935302727</v>
      </c>
      <c r="BU76" s="13">
        <v>16245000</v>
      </c>
      <c r="BV76" s="13">
        <v>0</v>
      </c>
      <c r="BW76" s="14">
        <v>0</v>
      </c>
    </row>
    <row r="77" spans="40:75" x14ac:dyDescent="0.25">
      <c r="BN77" s="17" t="str">
        <f t="shared" si="1"/>
        <v/>
      </c>
      <c r="BO77" s="19" t="s">
        <v>318</v>
      </c>
      <c r="BP77" s="13">
        <v>57.075000762939453</v>
      </c>
      <c r="BQ77" s="13">
        <v>58.729999542236328</v>
      </c>
      <c r="BR77" s="13">
        <v>54.860000610351563</v>
      </c>
      <c r="BS77" s="13">
        <v>58.119998931884773</v>
      </c>
      <c r="BT77" s="13">
        <v>47.877708435058587</v>
      </c>
      <c r="BU77" s="13">
        <v>11813800</v>
      </c>
      <c r="BV77" s="13">
        <v>0</v>
      </c>
      <c r="BW77" s="14">
        <v>0</v>
      </c>
    </row>
    <row r="78" spans="40:75" x14ac:dyDescent="0.25">
      <c r="BN78" s="17" t="str">
        <f t="shared" si="1"/>
        <v/>
      </c>
      <c r="BO78" s="19" t="s">
        <v>319</v>
      </c>
      <c r="BP78" s="13"/>
      <c r="BQ78" s="13"/>
      <c r="BR78" s="13"/>
      <c r="BS78" s="13"/>
      <c r="BT78" s="13"/>
      <c r="BU78" s="13"/>
      <c r="BV78" s="13">
        <v>0.59250000000000003</v>
      </c>
      <c r="BW78" s="14">
        <v>0</v>
      </c>
    </row>
    <row r="79" spans="40:75" x14ac:dyDescent="0.25">
      <c r="BN79" s="17" t="str">
        <f t="shared" si="1"/>
        <v/>
      </c>
      <c r="BO79" s="19" t="s">
        <v>320</v>
      </c>
      <c r="BP79" s="13">
        <v>59.060001373291023</v>
      </c>
      <c r="BQ79" s="13">
        <v>60.325000762939453</v>
      </c>
      <c r="BR79" s="13">
        <v>56.575000762939453</v>
      </c>
      <c r="BS79" s="13">
        <v>56.930000305175781</v>
      </c>
      <c r="BT79" s="13">
        <v>46.897418975830078</v>
      </c>
      <c r="BU79" s="13">
        <v>31694600</v>
      </c>
      <c r="BV79" s="13">
        <v>0</v>
      </c>
      <c r="BW79" s="14">
        <v>0</v>
      </c>
    </row>
    <row r="80" spans="40:75" x14ac:dyDescent="0.25">
      <c r="BN80" s="17" t="str">
        <f t="shared" si="1"/>
        <v/>
      </c>
      <c r="BO80" s="19" t="s">
        <v>321</v>
      </c>
      <c r="BP80" s="13">
        <v>52.314998626708977</v>
      </c>
      <c r="BQ80" s="13">
        <v>59.115001678466797</v>
      </c>
      <c r="BR80" s="13">
        <v>51.915000915527337</v>
      </c>
      <c r="BS80" s="13">
        <v>58.935001373291023</v>
      </c>
      <c r="BT80" s="13">
        <v>48.063518524169922</v>
      </c>
      <c r="BU80" s="13">
        <v>19606600</v>
      </c>
      <c r="BV80" s="13">
        <v>0</v>
      </c>
      <c r="BW80" s="14">
        <v>0</v>
      </c>
    </row>
    <row r="81" spans="66:75" x14ac:dyDescent="0.25">
      <c r="BN81" s="17" t="str">
        <f t="shared" si="1"/>
        <v/>
      </c>
      <c r="BO81" s="19" t="s">
        <v>322</v>
      </c>
      <c r="BP81" s="13">
        <v>48.784999847412109</v>
      </c>
      <c r="BQ81" s="13">
        <v>52.130001068115227</v>
      </c>
      <c r="BR81" s="13">
        <v>48.784999847412109</v>
      </c>
      <c r="BS81" s="13">
        <v>51.979999542236328</v>
      </c>
      <c r="BT81" s="13">
        <v>42.391471862792969</v>
      </c>
      <c r="BU81" s="13">
        <v>20580000</v>
      </c>
      <c r="BV81" s="13">
        <v>0</v>
      </c>
      <c r="BW81" s="14">
        <v>0</v>
      </c>
    </row>
    <row r="82" spans="66:75" x14ac:dyDescent="0.25">
      <c r="BN82" s="17" t="str">
        <f t="shared" si="1"/>
        <v/>
      </c>
      <c r="BO82" s="19" t="s">
        <v>323</v>
      </c>
      <c r="BP82" s="13"/>
      <c r="BQ82" s="13"/>
      <c r="BR82" s="13"/>
      <c r="BS82" s="13"/>
      <c r="BT82" s="13"/>
      <c r="BU82" s="13"/>
      <c r="BV82" s="13">
        <v>0.57899999999999996</v>
      </c>
      <c r="BW82" s="14">
        <v>0</v>
      </c>
    </row>
    <row r="83" spans="66:75" x14ac:dyDescent="0.25">
      <c r="BN83" s="17" t="str">
        <f t="shared" si="1"/>
        <v/>
      </c>
      <c r="BO83" s="19" t="s">
        <v>324</v>
      </c>
      <c r="BP83" s="13">
        <v>46.865001678466797</v>
      </c>
      <c r="BQ83" s="13">
        <v>51.099998474121087</v>
      </c>
      <c r="BR83" s="13">
        <v>46.220001220703118</v>
      </c>
      <c r="BS83" s="13">
        <v>48.935001373291023</v>
      </c>
      <c r="BT83" s="13">
        <v>39.908168792724609</v>
      </c>
      <c r="BU83" s="13">
        <v>36598600</v>
      </c>
      <c r="BV83" s="13">
        <v>0</v>
      </c>
      <c r="BW83" s="14">
        <v>0</v>
      </c>
    </row>
    <row r="84" spans="66:75" x14ac:dyDescent="0.25">
      <c r="BN84" s="17" t="str">
        <f t="shared" si="1"/>
        <v/>
      </c>
      <c r="BO84" s="19" t="s">
        <v>325</v>
      </c>
      <c r="BP84" s="13">
        <v>43.009998321533203</v>
      </c>
      <c r="BQ84" s="13">
        <v>47.794998168945313</v>
      </c>
      <c r="BR84" s="13">
        <v>42.435001373291023</v>
      </c>
      <c r="BS84" s="13">
        <v>46.084999084472663</v>
      </c>
      <c r="BT84" s="13">
        <v>37.150619506835938</v>
      </c>
      <c r="BU84" s="13">
        <v>15082600</v>
      </c>
      <c r="BV84" s="13">
        <v>0</v>
      </c>
      <c r="BW84" s="14">
        <v>0</v>
      </c>
    </row>
    <row r="85" spans="66:75" x14ac:dyDescent="0.25">
      <c r="BN85" s="17" t="str">
        <f t="shared" si="1"/>
        <v>2021</v>
      </c>
      <c r="BO85" s="19" t="s">
        <v>326</v>
      </c>
      <c r="BP85" s="13">
        <v>42.889999389648438</v>
      </c>
      <c r="BQ85" s="13">
        <v>45.209999084472663</v>
      </c>
      <c r="BR85" s="13">
        <v>41.965000152587891</v>
      </c>
      <c r="BS85" s="13">
        <v>42.590000152587891</v>
      </c>
      <c r="BT85" s="13">
        <v>34.333194732666023</v>
      </c>
      <c r="BU85" s="13">
        <v>13910200</v>
      </c>
      <c r="BV85" s="13">
        <v>0</v>
      </c>
      <c r="BW85" s="14">
        <v>0</v>
      </c>
    </row>
    <row r="86" spans="66:75" x14ac:dyDescent="0.25">
      <c r="BN86" s="17" t="str">
        <f t="shared" si="1"/>
        <v/>
      </c>
      <c r="BO86" s="19" t="s">
        <v>327</v>
      </c>
      <c r="BP86" s="13"/>
      <c r="BQ86" s="13"/>
      <c r="BR86" s="13"/>
      <c r="BS86" s="13"/>
      <c r="BT86" s="13"/>
      <c r="BU86" s="13"/>
      <c r="BV86" s="13">
        <v>0.56799999999999995</v>
      </c>
      <c r="BW86" s="14">
        <v>0</v>
      </c>
    </row>
    <row r="87" spans="66:75" x14ac:dyDescent="0.25">
      <c r="BN87" s="17" t="str">
        <f t="shared" si="1"/>
        <v/>
      </c>
      <c r="BO87" s="19" t="s">
        <v>328</v>
      </c>
      <c r="BP87" s="13">
        <v>42.575000762939453</v>
      </c>
      <c r="BQ87" s="13">
        <v>44.075000762939453</v>
      </c>
      <c r="BR87" s="13">
        <v>42.369998931884773</v>
      </c>
      <c r="BS87" s="13">
        <v>42.735000610351563</v>
      </c>
      <c r="BT87" s="13">
        <v>34.450077056884773</v>
      </c>
      <c r="BU87" s="13">
        <v>14035200</v>
      </c>
      <c r="BV87" s="13">
        <v>0</v>
      </c>
      <c r="BW87" s="14">
        <v>0</v>
      </c>
    </row>
    <row r="88" spans="66:75" x14ac:dyDescent="0.25">
      <c r="BN88" s="17" t="str">
        <f t="shared" si="1"/>
        <v/>
      </c>
      <c r="BO88" s="19" t="s">
        <v>329</v>
      </c>
      <c r="BP88" s="13">
        <v>37.599998474121087</v>
      </c>
      <c r="BQ88" s="13">
        <v>43.099998474121087</v>
      </c>
      <c r="BR88" s="13">
        <v>37.310001373291023</v>
      </c>
      <c r="BS88" s="13">
        <v>42.099998474121087</v>
      </c>
      <c r="BT88" s="13">
        <v>33.4964599609375</v>
      </c>
      <c r="BU88" s="13">
        <v>12435200</v>
      </c>
      <c r="BV88" s="13">
        <v>0</v>
      </c>
      <c r="BW88" s="14">
        <v>0</v>
      </c>
    </row>
    <row r="89" spans="66:75" x14ac:dyDescent="0.25">
      <c r="BN89" s="17" t="str">
        <f t="shared" si="1"/>
        <v/>
      </c>
      <c r="BO89" s="19" t="s">
        <v>330</v>
      </c>
      <c r="BP89" s="13">
        <v>37.485000610351563</v>
      </c>
      <c r="BQ89" s="13">
        <v>39.049999237060547</v>
      </c>
      <c r="BR89" s="13">
        <v>36.034999847412109</v>
      </c>
      <c r="BS89" s="13">
        <v>37.310001373291023</v>
      </c>
      <c r="BT89" s="13">
        <v>29.685344696044918</v>
      </c>
      <c r="BU89" s="13">
        <v>11904600</v>
      </c>
      <c r="BV89" s="13">
        <v>0</v>
      </c>
      <c r="BW89" s="14">
        <v>0</v>
      </c>
    </row>
    <row r="90" spans="66:75" x14ac:dyDescent="0.25">
      <c r="BN90" s="17" t="str">
        <f t="shared" si="1"/>
        <v/>
      </c>
      <c r="BO90" s="19" t="s">
        <v>331</v>
      </c>
      <c r="BP90" s="13"/>
      <c r="BQ90" s="13"/>
      <c r="BR90" s="13"/>
      <c r="BS90" s="13"/>
      <c r="BT90" s="13"/>
      <c r="BU90" s="13"/>
      <c r="BV90" s="13">
        <v>0.54649999999999999</v>
      </c>
      <c r="BW90" s="14">
        <v>0</v>
      </c>
    </row>
    <row r="91" spans="66:75" x14ac:dyDescent="0.25">
      <c r="BN91" s="17" t="str">
        <f t="shared" si="1"/>
        <v/>
      </c>
      <c r="BO91" s="19" t="s">
        <v>332</v>
      </c>
      <c r="BP91" s="13">
        <v>39.520000457763672</v>
      </c>
      <c r="BQ91" s="13">
        <v>40.240001678466797</v>
      </c>
      <c r="BR91" s="13">
        <v>36.875</v>
      </c>
      <c r="BS91" s="13">
        <v>37.360000610351563</v>
      </c>
      <c r="BT91" s="13">
        <v>29.725128173828121</v>
      </c>
      <c r="BU91" s="13">
        <v>20171000</v>
      </c>
      <c r="BV91" s="13">
        <v>0</v>
      </c>
      <c r="BW91" s="14">
        <v>0</v>
      </c>
    </row>
    <row r="92" spans="66:75" x14ac:dyDescent="0.25">
      <c r="BN92" s="17" t="str">
        <f t="shared" si="1"/>
        <v/>
      </c>
      <c r="BO92" s="19" t="s">
        <v>333</v>
      </c>
      <c r="BP92" s="13">
        <v>34.634998321533203</v>
      </c>
      <c r="BQ92" s="13">
        <v>40.084999084472663</v>
      </c>
      <c r="BR92" s="13">
        <v>34.555000305175781</v>
      </c>
      <c r="BS92" s="13">
        <v>39.674999237060547</v>
      </c>
      <c r="BT92" s="13">
        <v>31.113229751586911</v>
      </c>
      <c r="BU92" s="13">
        <v>13386800</v>
      </c>
      <c r="BV92" s="13">
        <v>0</v>
      </c>
      <c r="BW92" s="14">
        <v>0</v>
      </c>
    </row>
    <row r="93" spans="66:75" x14ac:dyDescent="0.25">
      <c r="BN93" s="17" t="str">
        <f t="shared" si="1"/>
        <v/>
      </c>
      <c r="BO93" s="19" t="s">
        <v>334</v>
      </c>
      <c r="BP93" s="13">
        <v>33.689998626708977</v>
      </c>
      <c r="BQ93" s="13">
        <v>35.185001373291023</v>
      </c>
      <c r="BR93" s="13">
        <v>33</v>
      </c>
      <c r="BS93" s="13">
        <v>34.674999237060547</v>
      </c>
      <c r="BT93" s="13">
        <v>27.19221115112305</v>
      </c>
      <c r="BU93" s="13">
        <v>14758600</v>
      </c>
      <c r="BV93" s="13">
        <v>0</v>
      </c>
      <c r="BW93" s="14">
        <v>0</v>
      </c>
    </row>
    <row r="94" spans="66:75" x14ac:dyDescent="0.25">
      <c r="BN94" s="17" t="str">
        <f t="shared" si="1"/>
        <v/>
      </c>
      <c r="BO94" s="19" t="s">
        <v>335</v>
      </c>
      <c r="BP94" s="13"/>
      <c r="BQ94" s="13"/>
      <c r="BR94" s="13"/>
      <c r="BS94" s="13"/>
      <c r="BT94" s="13"/>
      <c r="BU94" s="13"/>
      <c r="BV94" s="13">
        <v>0.53549999999999998</v>
      </c>
      <c r="BW94" s="14">
        <v>0</v>
      </c>
    </row>
    <row r="95" spans="66:75" x14ac:dyDescent="0.25">
      <c r="BN95" s="17" t="str">
        <f t="shared" si="1"/>
        <v/>
      </c>
      <c r="BO95" s="19" t="s">
        <v>336</v>
      </c>
      <c r="BP95" s="13">
        <v>32.174999237060547</v>
      </c>
      <c r="BQ95" s="13">
        <v>37.284999847412109</v>
      </c>
      <c r="BR95" s="13">
        <v>32.169998168945313</v>
      </c>
      <c r="BS95" s="13">
        <v>33.485000610351563</v>
      </c>
      <c r="BT95" s="13">
        <v>26.259012222290039</v>
      </c>
      <c r="BU95" s="13">
        <v>28742000</v>
      </c>
      <c r="BV95" s="13">
        <v>0</v>
      </c>
      <c r="BW95" s="14">
        <v>0</v>
      </c>
    </row>
    <row r="96" spans="66:75" x14ac:dyDescent="0.25">
      <c r="BN96" s="17" t="str">
        <f t="shared" si="1"/>
        <v/>
      </c>
      <c r="BO96" s="19" t="s">
        <v>337</v>
      </c>
      <c r="BP96" s="13">
        <v>29.139999389648441</v>
      </c>
      <c r="BQ96" s="13">
        <v>33.409999847412109</v>
      </c>
      <c r="BR96" s="13">
        <v>27.469999313354489</v>
      </c>
      <c r="BS96" s="13">
        <v>31.965000152587891</v>
      </c>
      <c r="BT96" s="13">
        <v>24.673091888427731</v>
      </c>
      <c r="BU96" s="13">
        <v>25405400</v>
      </c>
      <c r="BV96" s="13">
        <v>0</v>
      </c>
      <c r="BW96" s="14">
        <v>0</v>
      </c>
    </row>
    <row r="97" spans="66:75" x14ac:dyDescent="0.25">
      <c r="BN97" s="17" t="str">
        <f t="shared" si="1"/>
        <v/>
      </c>
      <c r="BO97" s="19" t="s">
        <v>338</v>
      </c>
      <c r="BP97" s="13">
        <v>27.729999542236332</v>
      </c>
      <c r="BQ97" s="13">
        <v>31.375</v>
      </c>
      <c r="BR97" s="13">
        <v>26.989999771118161</v>
      </c>
      <c r="BS97" s="13">
        <v>29.704999923706051</v>
      </c>
      <c r="BT97" s="13">
        <v>22.928647994995121</v>
      </c>
      <c r="BU97" s="13">
        <v>34640200</v>
      </c>
      <c r="BV97" s="13">
        <v>0</v>
      </c>
      <c r="BW97" s="14">
        <v>0</v>
      </c>
    </row>
    <row r="98" spans="66:75" x14ac:dyDescent="0.25">
      <c r="BN98" s="17" t="str">
        <f t="shared" si="1"/>
        <v/>
      </c>
      <c r="BO98" s="19" t="s">
        <v>339</v>
      </c>
      <c r="BP98" s="13"/>
      <c r="BQ98" s="13"/>
      <c r="BR98" s="13"/>
      <c r="BS98" s="13"/>
      <c r="BT98" s="13"/>
      <c r="BU98" s="13"/>
      <c r="BV98" s="13">
        <v>0.51449999999999996</v>
      </c>
      <c r="BW98" s="14">
        <v>0</v>
      </c>
    </row>
    <row r="99" spans="66:75" x14ac:dyDescent="0.25">
      <c r="BN99" s="17" t="str">
        <f t="shared" si="1"/>
        <v/>
      </c>
      <c r="BO99" s="19" t="s">
        <v>340</v>
      </c>
      <c r="BP99" s="13">
        <v>37.990001678466797</v>
      </c>
      <c r="BQ99" s="13">
        <v>39.104999542236328</v>
      </c>
      <c r="BR99" s="13">
        <v>23.22500038146973</v>
      </c>
      <c r="BS99" s="13">
        <v>28.985000610351559</v>
      </c>
      <c r="BT99" s="13">
        <v>22.372896194458011</v>
      </c>
      <c r="BU99" s="13">
        <v>50402400</v>
      </c>
      <c r="BV99" s="13">
        <v>0</v>
      </c>
      <c r="BW99" s="14">
        <v>0</v>
      </c>
    </row>
    <row r="100" spans="66:75" x14ac:dyDescent="0.25">
      <c r="BN100" s="17" t="str">
        <f t="shared" si="1"/>
        <v/>
      </c>
      <c r="BO100" s="19" t="s">
        <v>341</v>
      </c>
      <c r="BP100" s="13">
        <v>40.764999389648438</v>
      </c>
      <c r="BQ100" s="13">
        <v>41.875</v>
      </c>
      <c r="BR100" s="13">
        <v>37.505001068115227</v>
      </c>
      <c r="BS100" s="13">
        <v>38.034999847412109</v>
      </c>
      <c r="BT100" s="13">
        <v>28.830987930297852</v>
      </c>
      <c r="BU100" s="13">
        <v>17588800</v>
      </c>
      <c r="BV100" s="13">
        <v>0</v>
      </c>
      <c r="BW100" s="14">
        <v>0</v>
      </c>
    </row>
    <row r="101" spans="66:75" x14ac:dyDescent="0.25">
      <c r="BN101" s="17" t="str">
        <f t="shared" si="1"/>
        <v>2020</v>
      </c>
      <c r="BO101" s="19" t="s">
        <v>342</v>
      </c>
      <c r="BP101" s="13">
        <v>41.720001220703118</v>
      </c>
      <c r="BQ101" s="13">
        <v>41.794998168945313</v>
      </c>
      <c r="BR101" s="13">
        <v>40.610000610351563</v>
      </c>
      <c r="BS101" s="13">
        <v>40.735000610351563</v>
      </c>
      <c r="BT101" s="13">
        <v>30.877620697021481</v>
      </c>
      <c r="BU101" s="13">
        <v>15537800</v>
      </c>
      <c r="BV101" s="13">
        <v>0</v>
      </c>
      <c r="BW101" s="14">
        <v>0</v>
      </c>
    </row>
    <row r="102" spans="66:75" x14ac:dyDescent="0.25">
      <c r="BN102" s="17" t="str">
        <f t="shared" si="1"/>
        <v/>
      </c>
      <c r="BO102" s="19" t="s">
        <v>343</v>
      </c>
      <c r="BP102" s="13"/>
      <c r="BQ102" s="13"/>
      <c r="BR102" s="13"/>
      <c r="BS102" s="13"/>
      <c r="BT102" s="13"/>
      <c r="BU102" s="13"/>
      <c r="BV102" s="13">
        <v>0.54749999999999999</v>
      </c>
      <c r="BW102" s="14">
        <v>0</v>
      </c>
    </row>
    <row r="103" spans="66:75" x14ac:dyDescent="0.25">
      <c r="BN103" s="17" t="str">
        <f t="shared" si="1"/>
        <v/>
      </c>
      <c r="BO103" s="19" t="s">
        <v>344</v>
      </c>
      <c r="BP103" s="13">
        <v>43.435001373291023</v>
      </c>
      <c r="BQ103" s="13">
        <v>43.529998779296882</v>
      </c>
      <c r="BR103" s="13">
        <v>41.014999389648438</v>
      </c>
      <c r="BS103" s="13">
        <v>41.599998474121087</v>
      </c>
      <c r="BT103" s="13">
        <v>31.533304214477539</v>
      </c>
      <c r="BU103" s="13">
        <v>21114800</v>
      </c>
      <c r="BV103" s="13">
        <v>0</v>
      </c>
      <c r="BW103" s="14">
        <v>0</v>
      </c>
    </row>
    <row r="104" spans="66:75" x14ac:dyDescent="0.25">
      <c r="BN104" s="17" t="str">
        <f t="shared" si="1"/>
        <v/>
      </c>
      <c r="BO104" s="19" t="s">
        <v>345</v>
      </c>
      <c r="BP104" s="13">
        <v>42.720001220703118</v>
      </c>
      <c r="BQ104" s="13">
        <v>43.810001373291023</v>
      </c>
      <c r="BR104" s="13">
        <v>42.650001525878913</v>
      </c>
      <c r="BS104" s="13">
        <v>43.450000762939453</v>
      </c>
      <c r="BT104" s="13">
        <v>32.505519866943359</v>
      </c>
      <c r="BU104" s="13">
        <v>18176600</v>
      </c>
      <c r="BV104" s="13">
        <v>0</v>
      </c>
      <c r="BW104" s="14">
        <v>0</v>
      </c>
    </row>
    <row r="105" spans="66:75" x14ac:dyDescent="0.25">
      <c r="BN105" s="17" t="str">
        <f t="shared" si="1"/>
        <v/>
      </c>
      <c r="BO105" s="19" t="s">
        <v>346</v>
      </c>
      <c r="BP105" s="13">
        <v>41.349998474121087</v>
      </c>
      <c r="BQ105" s="13">
        <v>43.165000915527337</v>
      </c>
      <c r="BR105" s="13">
        <v>39.645000457763672</v>
      </c>
      <c r="BS105" s="13">
        <v>42.630001068115227</v>
      </c>
      <c r="BT105" s="13">
        <v>31.89206695556641</v>
      </c>
      <c r="BU105" s="13">
        <v>19229000</v>
      </c>
      <c r="BV105" s="13">
        <v>0</v>
      </c>
      <c r="BW105" s="14">
        <v>0</v>
      </c>
    </row>
    <row r="106" spans="66:75" x14ac:dyDescent="0.25">
      <c r="BN106" s="17" t="str">
        <f t="shared" si="1"/>
        <v/>
      </c>
      <c r="BO106" s="19" t="s">
        <v>347</v>
      </c>
      <c r="BP106" s="13"/>
      <c r="BQ106" s="13"/>
      <c r="BR106" s="13"/>
      <c r="BS106" s="13"/>
      <c r="BT106" s="13"/>
      <c r="BU106" s="13"/>
      <c r="BV106" s="13">
        <v>0.54249999999999998</v>
      </c>
      <c r="BW106" s="14">
        <v>0</v>
      </c>
    </row>
    <row r="107" spans="66:75" x14ac:dyDescent="0.25">
      <c r="BN107" s="17" t="str">
        <f t="shared" si="1"/>
        <v/>
      </c>
      <c r="BO107" s="19" t="s">
        <v>348</v>
      </c>
      <c r="BP107" s="13">
        <v>38.325000762939453</v>
      </c>
      <c r="BQ107" s="13">
        <v>42.150001525878913</v>
      </c>
      <c r="BR107" s="13">
        <v>38.090000152587891</v>
      </c>
      <c r="BS107" s="13">
        <v>41.279998779296882</v>
      </c>
      <c r="BT107" s="13">
        <v>30.88210487365723</v>
      </c>
      <c r="BU107" s="13">
        <v>29770800</v>
      </c>
      <c r="BV107" s="13">
        <v>0</v>
      </c>
      <c r="BW107" s="14">
        <v>0</v>
      </c>
    </row>
    <row r="108" spans="66:75" x14ac:dyDescent="0.25">
      <c r="BN108" s="17" t="str">
        <f t="shared" si="1"/>
        <v/>
      </c>
      <c r="BO108" s="19" t="s">
        <v>349</v>
      </c>
      <c r="BP108" s="13">
        <v>39.224998474121087</v>
      </c>
      <c r="BQ108" s="13">
        <v>39.314998626708977</v>
      </c>
      <c r="BR108" s="13">
        <v>36.599998474121087</v>
      </c>
      <c r="BS108" s="13">
        <v>38.709999084472663</v>
      </c>
      <c r="BT108" s="13">
        <v>28.5827522277832</v>
      </c>
      <c r="BU108" s="13">
        <v>21762000</v>
      </c>
      <c r="BV108" s="13">
        <v>0</v>
      </c>
      <c r="BW108" s="14">
        <v>0</v>
      </c>
    </row>
    <row r="109" spans="66:75" x14ac:dyDescent="0.25">
      <c r="BN109" s="17" t="str">
        <f t="shared" si="1"/>
        <v/>
      </c>
      <c r="BO109" s="19" t="s">
        <v>350</v>
      </c>
      <c r="BP109" s="13">
        <v>39.525001525878913</v>
      </c>
      <c r="BQ109" s="13">
        <v>39.974998474121087</v>
      </c>
      <c r="BR109" s="13">
        <v>38.790000915527337</v>
      </c>
      <c r="BS109" s="13">
        <v>39.334999084472663</v>
      </c>
      <c r="BT109" s="13">
        <v>29.044240951538089</v>
      </c>
      <c r="BU109" s="13">
        <v>12717800</v>
      </c>
      <c r="BV109" s="13">
        <v>0</v>
      </c>
      <c r="BW109" s="14">
        <v>0</v>
      </c>
    </row>
    <row r="110" spans="66:75" x14ac:dyDescent="0.25">
      <c r="BN110" s="17" t="str">
        <f t="shared" si="1"/>
        <v/>
      </c>
      <c r="BO110" s="19" t="s">
        <v>351</v>
      </c>
      <c r="BP110" s="13"/>
      <c r="BQ110" s="13"/>
      <c r="BR110" s="13"/>
      <c r="BS110" s="13"/>
      <c r="BT110" s="13"/>
      <c r="BU110" s="13"/>
      <c r="BV110" s="13">
        <v>0.53349999999999997</v>
      </c>
      <c r="BW110" s="14">
        <v>0</v>
      </c>
    </row>
    <row r="111" spans="66:75" x14ac:dyDescent="0.25">
      <c r="BN111" s="17" t="str">
        <f t="shared" si="1"/>
        <v/>
      </c>
      <c r="BO111" s="19" t="s">
        <v>352</v>
      </c>
      <c r="BP111" s="13">
        <v>37.985000610351563</v>
      </c>
      <c r="BQ111" s="13">
        <v>40.005001068115227</v>
      </c>
      <c r="BR111" s="13">
        <v>37.919998168945313</v>
      </c>
      <c r="BS111" s="13">
        <v>39.279998779296882</v>
      </c>
      <c r="BT111" s="13">
        <v>29.00362586975098</v>
      </c>
      <c r="BU111" s="13">
        <v>19817000</v>
      </c>
      <c r="BV111" s="13">
        <v>0</v>
      </c>
      <c r="BW111" s="14">
        <v>0</v>
      </c>
    </row>
    <row r="112" spans="66:75" x14ac:dyDescent="0.25">
      <c r="BN112" s="17" t="str">
        <f t="shared" si="1"/>
        <v/>
      </c>
      <c r="BO112" s="19" t="s">
        <v>353</v>
      </c>
      <c r="BP112" s="13">
        <v>42.115001678466797</v>
      </c>
      <c r="BQ112" s="13">
        <v>42.319999694824219</v>
      </c>
      <c r="BR112" s="13">
        <v>37.174999237060547</v>
      </c>
      <c r="BS112" s="13">
        <v>37.889999389648438</v>
      </c>
      <c r="BT112" s="13">
        <v>27.600973129272461</v>
      </c>
      <c r="BU112" s="13">
        <v>18041800</v>
      </c>
      <c r="BV112" s="13">
        <v>0</v>
      </c>
      <c r="BW112" s="14">
        <v>0</v>
      </c>
    </row>
    <row r="113" spans="66:75" x14ac:dyDescent="0.25">
      <c r="BN113" s="17" t="str">
        <f t="shared" si="1"/>
        <v/>
      </c>
      <c r="BO113" s="19" t="s">
        <v>354</v>
      </c>
      <c r="BP113" s="13">
        <v>39.959999084472663</v>
      </c>
      <c r="BQ113" s="13">
        <v>42.165000915527337</v>
      </c>
      <c r="BR113" s="13">
        <v>39.860000610351563</v>
      </c>
      <c r="BS113" s="13">
        <v>42.110000610351563</v>
      </c>
      <c r="BT113" s="13">
        <v>30.675045013427731</v>
      </c>
      <c r="BU113" s="13">
        <v>16312800</v>
      </c>
      <c r="BV113" s="13">
        <v>0</v>
      </c>
      <c r="BW113" s="14">
        <v>0</v>
      </c>
    </row>
    <row r="114" spans="66:75" x14ac:dyDescent="0.25">
      <c r="BN114" s="17" t="str">
        <f t="shared" si="1"/>
        <v/>
      </c>
      <c r="BO114" s="19" t="s">
        <v>355</v>
      </c>
      <c r="BP114" s="13"/>
      <c r="BQ114" s="13"/>
      <c r="BR114" s="13"/>
      <c r="BS114" s="13"/>
      <c r="BT114" s="13"/>
      <c r="BU114" s="13"/>
      <c r="BV114" s="13">
        <v>0.52300000000000002</v>
      </c>
      <c r="BW114" s="14">
        <v>0</v>
      </c>
    </row>
    <row r="115" spans="66:75" x14ac:dyDescent="0.25">
      <c r="BN115" s="17" t="str">
        <f t="shared" si="1"/>
        <v/>
      </c>
      <c r="BO115" s="19" t="s">
        <v>356</v>
      </c>
      <c r="BP115" s="13">
        <v>42.459999084472663</v>
      </c>
      <c r="BQ115" s="13">
        <v>43.005001068115227</v>
      </c>
      <c r="BR115" s="13">
        <v>39.509998321533203</v>
      </c>
      <c r="BS115" s="13">
        <v>39.534999847412109</v>
      </c>
      <c r="BT115" s="13">
        <v>28.799282073974609</v>
      </c>
      <c r="BU115" s="13">
        <v>18536000</v>
      </c>
      <c r="BV115" s="13">
        <v>0</v>
      </c>
      <c r="BW115" s="14">
        <v>0</v>
      </c>
    </row>
    <row r="116" spans="66:75" x14ac:dyDescent="0.25">
      <c r="BN116" s="17" t="str">
        <f t="shared" si="1"/>
        <v/>
      </c>
      <c r="BO116" s="19" t="s">
        <v>357</v>
      </c>
      <c r="BP116" s="13">
        <v>42.389999389648438</v>
      </c>
      <c r="BQ116" s="13">
        <v>43.700000762939453</v>
      </c>
      <c r="BR116" s="13">
        <v>41.395000457763672</v>
      </c>
      <c r="BS116" s="13">
        <v>42.419998168945313</v>
      </c>
      <c r="BT116" s="13">
        <v>30.502704620361332</v>
      </c>
      <c r="BU116" s="13">
        <v>14683200</v>
      </c>
      <c r="BV116" s="13">
        <v>0</v>
      </c>
      <c r="BW116" s="14">
        <v>0</v>
      </c>
    </row>
    <row r="117" spans="66:75" x14ac:dyDescent="0.25">
      <c r="BN117" s="17" t="str">
        <f t="shared" si="1"/>
        <v>2019</v>
      </c>
      <c r="BO117" s="19" t="s">
        <v>358</v>
      </c>
      <c r="BP117" s="13">
        <v>36.900001525878913</v>
      </c>
      <c r="BQ117" s="13">
        <v>42.424999237060547</v>
      </c>
      <c r="BR117" s="13">
        <v>36.900001525878913</v>
      </c>
      <c r="BS117" s="13">
        <v>42.395000457763672</v>
      </c>
      <c r="BT117" s="13">
        <v>30.4847297668457</v>
      </c>
      <c r="BU117" s="13">
        <v>15007600</v>
      </c>
      <c r="BV117" s="13">
        <v>0</v>
      </c>
      <c r="BW117" s="14">
        <v>0</v>
      </c>
    </row>
    <row r="118" spans="66:75" x14ac:dyDescent="0.25">
      <c r="BN118" s="17" t="str">
        <f t="shared" si="1"/>
        <v/>
      </c>
      <c r="BO118" s="19" t="s">
        <v>359</v>
      </c>
      <c r="BP118" s="13"/>
      <c r="BQ118" s="13"/>
      <c r="BR118" s="13"/>
      <c r="BS118" s="13"/>
      <c r="BT118" s="13"/>
      <c r="BU118" s="13"/>
      <c r="BV118" s="13">
        <v>0.501</v>
      </c>
      <c r="BW118" s="14">
        <v>0</v>
      </c>
    </row>
    <row r="119" spans="66:75" x14ac:dyDescent="0.25">
      <c r="BN119" s="17" t="str">
        <f t="shared" si="1"/>
        <v/>
      </c>
      <c r="BO119" s="19" t="s">
        <v>360</v>
      </c>
      <c r="BP119" s="13">
        <v>42.560001373291023</v>
      </c>
      <c r="BQ119" s="13">
        <v>42.775001525878913</v>
      </c>
      <c r="BR119" s="13">
        <v>36.479999542236328</v>
      </c>
      <c r="BS119" s="13">
        <v>37.270000457763672</v>
      </c>
      <c r="BT119" s="13">
        <v>26.79952430725098</v>
      </c>
      <c r="BU119" s="13">
        <v>21235400</v>
      </c>
      <c r="BV119" s="13">
        <v>0</v>
      </c>
      <c r="BW119" s="14">
        <v>0</v>
      </c>
    </row>
    <row r="120" spans="66:75" x14ac:dyDescent="0.25">
      <c r="BN120" s="17" t="str">
        <f t="shared" si="1"/>
        <v/>
      </c>
      <c r="BO120" s="19" t="s">
        <v>361</v>
      </c>
      <c r="BP120" s="13">
        <v>43.490001678466797</v>
      </c>
      <c r="BQ120" s="13">
        <v>44.125</v>
      </c>
      <c r="BR120" s="13">
        <v>41.544998168945313</v>
      </c>
      <c r="BS120" s="13">
        <v>41.939998626708977</v>
      </c>
      <c r="BT120" s="13">
        <v>29.76077842712402</v>
      </c>
      <c r="BU120" s="13">
        <v>13549000</v>
      </c>
      <c r="BV120" s="13">
        <v>0</v>
      </c>
      <c r="BW120" s="14">
        <v>0</v>
      </c>
    </row>
    <row r="121" spans="66:75" x14ac:dyDescent="0.25">
      <c r="BN121" s="17" t="str">
        <f t="shared" si="1"/>
        <v/>
      </c>
      <c r="BO121" s="19" t="s">
        <v>362</v>
      </c>
      <c r="BP121" s="13">
        <v>47.560001373291023</v>
      </c>
      <c r="BQ121" s="13">
        <v>47.615001678466797</v>
      </c>
      <c r="BR121" s="13">
        <v>42.439998626708977</v>
      </c>
      <c r="BS121" s="13">
        <v>43.159999847412109</v>
      </c>
      <c r="BT121" s="13">
        <v>30.62650299072266</v>
      </c>
      <c r="BU121" s="13">
        <v>22767800</v>
      </c>
      <c r="BV121" s="13">
        <v>0</v>
      </c>
      <c r="BW121" s="14">
        <v>0</v>
      </c>
    </row>
    <row r="122" spans="66:75" x14ac:dyDescent="0.25">
      <c r="BN122" s="17" t="str">
        <f t="shared" si="1"/>
        <v/>
      </c>
      <c r="BO122" s="19" t="s">
        <v>363</v>
      </c>
      <c r="BP122" s="13"/>
      <c r="BQ122" s="13"/>
      <c r="BR122" s="13"/>
      <c r="BS122" s="13"/>
      <c r="BT122" s="13"/>
      <c r="BU122" s="13"/>
      <c r="BV122" s="13">
        <v>0.52249999999999996</v>
      </c>
      <c r="BW122" s="14">
        <v>0</v>
      </c>
    </row>
    <row r="123" spans="66:75" x14ac:dyDescent="0.25">
      <c r="BN123" s="17" t="str">
        <f t="shared" si="1"/>
        <v/>
      </c>
      <c r="BO123" s="19" t="s">
        <v>364</v>
      </c>
      <c r="BP123" s="13">
        <v>46.474998474121087</v>
      </c>
      <c r="BQ123" s="13">
        <v>48.490001678466797</v>
      </c>
      <c r="BR123" s="13">
        <v>46.090000152587891</v>
      </c>
      <c r="BS123" s="13">
        <v>46.884998321533203</v>
      </c>
      <c r="BT123" s="13">
        <v>33.269775390625</v>
      </c>
      <c r="BU123" s="13">
        <v>16608600</v>
      </c>
      <c r="BV123" s="13">
        <v>0</v>
      </c>
      <c r="BW123" s="14">
        <v>0</v>
      </c>
    </row>
    <row r="124" spans="66:75" x14ac:dyDescent="0.25">
      <c r="BN124" s="17" t="str">
        <f t="shared" si="1"/>
        <v/>
      </c>
      <c r="BO124" s="19" t="s">
        <v>365</v>
      </c>
      <c r="BP124" s="13">
        <v>45.724998474121087</v>
      </c>
      <c r="BQ124" s="13">
        <v>47.680000305175781</v>
      </c>
      <c r="BR124" s="13">
        <v>45.25</v>
      </c>
      <c r="BS124" s="13">
        <v>46.840000152587891</v>
      </c>
      <c r="BT124" s="13">
        <v>32.872028350830078</v>
      </c>
      <c r="BU124" s="13">
        <v>18195000</v>
      </c>
      <c r="BV124" s="13">
        <v>0</v>
      </c>
      <c r="BW124" s="14">
        <v>0</v>
      </c>
    </row>
    <row r="125" spans="66:75" x14ac:dyDescent="0.25">
      <c r="BN125" s="17" t="str">
        <f t="shared" si="1"/>
        <v/>
      </c>
      <c r="BO125" s="19" t="s">
        <v>366</v>
      </c>
      <c r="BP125" s="13">
        <v>43.284999847412109</v>
      </c>
      <c r="BQ125" s="13">
        <v>45.75</v>
      </c>
      <c r="BR125" s="13">
        <v>42.974998474121087</v>
      </c>
      <c r="BS125" s="13">
        <v>45.615001678466797</v>
      </c>
      <c r="BT125" s="13">
        <v>32.012336730957031</v>
      </c>
      <c r="BU125" s="13">
        <v>10711800</v>
      </c>
      <c r="BV125" s="13">
        <v>0</v>
      </c>
      <c r="BW125" s="14">
        <v>0</v>
      </c>
    </row>
    <row r="126" spans="66:75" x14ac:dyDescent="0.25">
      <c r="BN126" s="17" t="str">
        <f t="shared" si="1"/>
        <v/>
      </c>
      <c r="BO126" s="19" t="s">
        <v>367</v>
      </c>
      <c r="BP126" s="13"/>
      <c r="BQ126" s="13"/>
      <c r="BR126" s="13"/>
      <c r="BS126" s="13"/>
      <c r="BT126" s="13"/>
      <c r="BU126" s="13"/>
      <c r="BV126" s="13">
        <v>0.4995</v>
      </c>
      <c r="BW126" s="14">
        <v>0</v>
      </c>
    </row>
    <row r="127" spans="66:75" x14ac:dyDescent="0.25">
      <c r="BN127" s="17" t="str">
        <f t="shared" si="1"/>
        <v/>
      </c>
      <c r="BO127" s="19" t="s">
        <v>368</v>
      </c>
      <c r="BP127" s="13">
        <v>43.849998474121087</v>
      </c>
      <c r="BQ127" s="13">
        <v>44.669998168945313</v>
      </c>
      <c r="BR127" s="13">
        <v>42.735000610351563</v>
      </c>
      <c r="BS127" s="13">
        <v>43.459999084472663</v>
      </c>
      <c r="BT127" s="13">
        <v>30.499969482421879</v>
      </c>
      <c r="BU127" s="13">
        <v>10830800</v>
      </c>
      <c r="BV127" s="13">
        <v>0</v>
      </c>
      <c r="BW127" s="14">
        <v>0</v>
      </c>
    </row>
    <row r="128" spans="66:75" x14ac:dyDescent="0.25">
      <c r="BN128" s="17" t="str">
        <f t="shared" si="1"/>
        <v/>
      </c>
      <c r="BO128" s="19" t="s">
        <v>369</v>
      </c>
      <c r="BP128" s="13">
        <v>43.470001220703118</v>
      </c>
      <c r="BQ128" s="13">
        <v>45.909999847412109</v>
      </c>
      <c r="BR128" s="13">
        <v>43.119998931884773</v>
      </c>
      <c r="BS128" s="13">
        <v>43.654998779296882</v>
      </c>
      <c r="BT128" s="13">
        <v>30.2866325378418</v>
      </c>
      <c r="BU128" s="13">
        <v>12280400</v>
      </c>
      <c r="BV128" s="13">
        <v>0</v>
      </c>
      <c r="BW128" s="14">
        <v>0</v>
      </c>
    </row>
    <row r="129" spans="66:75" x14ac:dyDescent="0.25">
      <c r="BN129" s="17" t="str">
        <f t="shared" si="1"/>
        <v/>
      </c>
      <c r="BO129" s="19" t="s">
        <v>370</v>
      </c>
      <c r="BP129" s="13">
        <v>44.139999389648438</v>
      </c>
      <c r="BQ129" s="13">
        <v>44.619998931884773</v>
      </c>
      <c r="BR129" s="13">
        <v>42.775001525878913</v>
      </c>
      <c r="BS129" s="13">
        <v>43.525001525878913</v>
      </c>
      <c r="BT129" s="13">
        <v>30.196453094482418</v>
      </c>
      <c r="BU129" s="13">
        <v>12978600</v>
      </c>
      <c r="BV129" s="13">
        <v>0</v>
      </c>
      <c r="BW129" s="14">
        <v>0</v>
      </c>
    </row>
    <row r="130" spans="66:75" x14ac:dyDescent="0.25">
      <c r="BN130" s="17" t="str">
        <f t="shared" si="1"/>
        <v/>
      </c>
      <c r="BO130" s="19" t="s">
        <v>371</v>
      </c>
      <c r="BP130" s="13"/>
      <c r="BQ130" s="13"/>
      <c r="BR130" s="13"/>
      <c r="BS130" s="13"/>
      <c r="BT130" s="13"/>
      <c r="BU130" s="13"/>
      <c r="BV130" s="13">
        <v>0.51800000000000002</v>
      </c>
      <c r="BW130" s="14">
        <v>0</v>
      </c>
    </row>
    <row r="131" spans="66:75" x14ac:dyDescent="0.25">
      <c r="BN131" s="17" t="str">
        <f t="shared" si="1"/>
        <v/>
      </c>
      <c r="BO131" s="19" t="s">
        <v>372</v>
      </c>
      <c r="BP131" s="13">
        <v>45.709999084472663</v>
      </c>
      <c r="BQ131" s="13">
        <v>46.229999542236328</v>
      </c>
      <c r="BR131" s="13">
        <v>43.465000152587891</v>
      </c>
      <c r="BS131" s="13">
        <v>44.139999389648438</v>
      </c>
      <c r="BT131" s="13">
        <v>30.623117446899411</v>
      </c>
      <c r="BU131" s="13">
        <v>21677800</v>
      </c>
      <c r="BV131" s="13">
        <v>0</v>
      </c>
      <c r="BW131" s="14">
        <v>0</v>
      </c>
    </row>
    <row r="132" spans="66:75" x14ac:dyDescent="0.25">
      <c r="BN132" s="17" t="str">
        <f t="shared" si="1"/>
        <v/>
      </c>
      <c r="BO132" s="19" t="s">
        <v>373</v>
      </c>
      <c r="BP132" s="13">
        <v>49.345001220703118</v>
      </c>
      <c r="BQ132" s="13">
        <v>49.404998779296882</v>
      </c>
      <c r="BR132" s="13">
        <v>44.560001373291023</v>
      </c>
      <c r="BS132" s="13">
        <v>45.625</v>
      </c>
      <c r="BT132" s="13">
        <v>31.284824371337891</v>
      </c>
      <c r="BU132" s="13">
        <v>17348600</v>
      </c>
      <c r="BV132" s="13">
        <v>0</v>
      </c>
      <c r="BW132" s="14">
        <v>0</v>
      </c>
    </row>
    <row r="133" spans="66:75" x14ac:dyDescent="0.25">
      <c r="BN133" s="17" t="str">
        <f t="shared" si="1"/>
        <v>2018</v>
      </c>
      <c r="BO133" s="19" t="s">
        <v>374</v>
      </c>
      <c r="BP133" s="13">
        <v>48.834999084472663</v>
      </c>
      <c r="BQ133" s="13">
        <v>50.005001068115227</v>
      </c>
      <c r="BR133" s="13">
        <v>48.595001220703118</v>
      </c>
      <c r="BS133" s="13">
        <v>49.509998321533203</v>
      </c>
      <c r="BT133" s="13">
        <v>33.948749542236328</v>
      </c>
      <c r="BU133" s="13">
        <v>14078400</v>
      </c>
      <c r="BV133" s="13">
        <v>0</v>
      </c>
      <c r="BW133" s="14">
        <v>0</v>
      </c>
    </row>
    <row r="134" spans="66:75" x14ac:dyDescent="0.25">
      <c r="BN134" s="17" t="str">
        <f t="shared" si="1"/>
        <v/>
      </c>
      <c r="BO134" s="19" t="s">
        <v>375</v>
      </c>
      <c r="BP134" s="13"/>
      <c r="BQ134" s="13"/>
      <c r="BR134" s="13"/>
      <c r="BS134" s="13"/>
      <c r="BT134" s="13"/>
      <c r="BU134" s="13"/>
      <c r="BV134" s="13">
        <v>0.51249999999999996</v>
      </c>
      <c r="BW134" s="14">
        <v>0</v>
      </c>
    </row>
    <row r="135" spans="66:75" x14ac:dyDescent="0.25">
      <c r="BN135" s="17" t="str">
        <f t="shared" si="1"/>
        <v/>
      </c>
      <c r="BO135" s="19" t="s">
        <v>376</v>
      </c>
      <c r="BP135" s="13">
        <v>46.325000762939453</v>
      </c>
      <c r="BQ135" s="13">
        <v>48.875</v>
      </c>
      <c r="BR135" s="13">
        <v>46.189998626708977</v>
      </c>
      <c r="BS135" s="13">
        <v>48.705001831054688</v>
      </c>
      <c r="BT135" s="13">
        <v>33.396766662597663</v>
      </c>
      <c r="BU135" s="13">
        <v>18416200</v>
      </c>
      <c r="BV135" s="13">
        <v>0</v>
      </c>
      <c r="BW135" s="14">
        <v>0</v>
      </c>
    </row>
    <row r="136" spans="66:75" x14ac:dyDescent="0.25">
      <c r="BN136" s="17" t="str">
        <f t="shared" ref="BN136:BN198" si="2">IF(RIGHT(BO136,5)="01/01",LEFT(BO136,4),"")</f>
        <v/>
      </c>
      <c r="BO136" s="19" t="s">
        <v>377</v>
      </c>
      <c r="BP136" s="13">
        <v>44.134998321533203</v>
      </c>
      <c r="BQ136" s="13">
        <v>46.025001525878913</v>
      </c>
      <c r="BR136" s="13">
        <v>43.805000305175781</v>
      </c>
      <c r="BS136" s="13">
        <v>45.880001068115227</v>
      </c>
      <c r="BT136" s="13">
        <v>31.126081466674801</v>
      </c>
      <c r="BU136" s="13">
        <v>16659800</v>
      </c>
      <c r="BV136" s="13">
        <v>0</v>
      </c>
      <c r="BW136" s="14">
        <v>0</v>
      </c>
    </row>
    <row r="137" spans="66:75" x14ac:dyDescent="0.25">
      <c r="BN137" s="17" t="str">
        <f t="shared" si="2"/>
        <v/>
      </c>
      <c r="BO137" s="19" t="s">
        <v>378</v>
      </c>
      <c r="BP137" s="13">
        <v>43.715000152587891</v>
      </c>
      <c r="BQ137" s="13">
        <v>45.360000610351563</v>
      </c>
      <c r="BR137" s="13">
        <v>43.604999542236328</v>
      </c>
      <c r="BS137" s="13">
        <v>44.025001525878913</v>
      </c>
      <c r="BT137" s="13">
        <v>29.86760330200195</v>
      </c>
      <c r="BU137" s="13">
        <v>21105000</v>
      </c>
      <c r="BV137" s="13">
        <v>0</v>
      </c>
      <c r="BW137" s="14">
        <v>0</v>
      </c>
    </row>
    <row r="138" spans="66:75" x14ac:dyDescent="0.25">
      <c r="BN138" s="17" t="str">
        <f t="shared" si="2"/>
        <v/>
      </c>
      <c r="BO138" s="19" t="s">
        <v>379</v>
      </c>
      <c r="BP138" s="13"/>
      <c r="BQ138" s="13"/>
      <c r="BR138" s="13"/>
      <c r="BS138" s="13"/>
      <c r="BT138" s="13"/>
      <c r="BU138" s="13"/>
      <c r="BV138" s="13">
        <v>0.52649999999999997</v>
      </c>
      <c r="BW138" s="14">
        <v>0</v>
      </c>
    </row>
    <row r="139" spans="66:75" x14ac:dyDescent="0.25">
      <c r="BN139" s="17" t="str">
        <f t="shared" si="2"/>
        <v/>
      </c>
      <c r="BO139" s="19" t="s">
        <v>380</v>
      </c>
      <c r="BP139" s="13">
        <v>42.305000305175781</v>
      </c>
      <c r="BQ139" s="13">
        <v>44.654998779296882</v>
      </c>
      <c r="BR139" s="13">
        <v>41.935001373291023</v>
      </c>
      <c r="BS139" s="13">
        <v>43.759998321533203</v>
      </c>
      <c r="BT139" s="13">
        <v>29.687810897827148</v>
      </c>
      <c r="BU139" s="13">
        <v>20622400</v>
      </c>
      <c r="BV139" s="13">
        <v>0</v>
      </c>
      <c r="BW139" s="14">
        <v>0</v>
      </c>
    </row>
    <row r="140" spans="66:75" x14ac:dyDescent="0.25">
      <c r="BN140" s="17" t="str">
        <f t="shared" si="2"/>
        <v/>
      </c>
      <c r="BO140" s="19" t="s">
        <v>381</v>
      </c>
      <c r="BP140" s="13">
        <v>43.560001373291023</v>
      </c>
      <c r="BQ140" s="13">
        <v>43.599998474121087</v>
      </c>
      <c r="BR140" s="13">
        <v>41.509998321533203</v>
      </c>
      <c r="BS140" s="13">
        <v>41.979999542236328</v>
      </c>
      <c r="BT140" s="13">
        <v>28.14306640625</v>
      </c>
      <c r="BU140" s="13">
        <v>18648600</v>
      </c>
      <c r="BV140" s="13">
        <v>0</v>
      </c>
      <c r="BW140" s="14">
        <v>0</v>
      </c>
    </row>
    <row r="141" spans="66:75" x14ac:dyDescent="0.25">
      <c r="BN141" s="17" t="str">
        <f t="shared" si="2"/>
        <v/>
      </c>
      <c r="BO141" s="19" t="s">
        <v>382</v>
      </c>
      <c r="BP141" s="13">
        <v>40.610000610351563</v>
      </c>
      <c r="BQ141" s="13">
        <v>43.650001525878913</v>
      </c>
      <c r="BR141" s="13">
        <v>40.555000305175781</v>
      </c>
      <c r="BS141" s="13">
        <v>43.419998168945313</v>
      </c>
      <c r="BT141" s="13">
        <v>29.10843658447266</v>
      </c>
      <c r="BU141" s="13">
        <v>27533200</v>
      </c>
      <c r="BV141" s="13">
        <v>0</v>
      </c>
      <c r="BW141" s="14">
        <v>0</v>
      </c>
    </row>
    <row r="142" spans="66:75" x14ac:dyDescent="0.25">
      <c r="BN142" s="17" t="str">
        <f t="shared" si="2"/>
        <v/>
      </c>
      <c r="BO142" s="19" t="s">
        <v>383</v>
      </c>
      <c r="BP142" s="13"/>
      <c r="BQ142" s="13"/>
      <c r="BR142" s="13"/>
      <c r="BS142" s="13"/>
      <c r="BT142" s="13"/>
      <c r="BU142" s="13"/>
      <c r="BV142" s="13">
        <v>0.47849999999999998</v>
      </c>
      <c r="BW142" s="14">
        <v>0</v>
      </c>
    </row>
    <row r="143" spans="66:75" x14ac:dyDescent="0.25">
      <c r="BN143" s="17" t="str">
        <f t="shared" si="2"/>
        <v/>
      </c>
      <c r="BO143" s="19" t="s">
        <v>384</v>
      </c>
      <c r="BP143" s="13">
        <v>39.189998626708977</v>
      </c>
      <c r="BQ143" s="13">
        <v>41.139999389648438</v>
      </c>
      <c r="BR143" s="13">
        <v>38.689998626708977</v>
      </c>
      <c r="BS143" s="13">
        <v>40.580001831054688</v>
      </c>
      <c r="BT143" s="13">
        <v>27.204523086547852</v>
      </c>
      <c r="BU143" s="13">
        <v>75399800</v>
      </c>
      <c r="BV143" s="13">
        <v>0</v>
      </c>
      <c r="BW143" s="14">
        <v>0</v>
      </c>
    </row>
    <row r="144" spans="66:75" x14ac:dyDescent="0.25">
      <c r="BN144" s="17" t="str">
        <f t="shared" si="2"/>
        <v/>
      </c>
      <c r="BO144" s="19" t="s">
        <v>385</v>
      </c>
      <c r="BP144" s="13">
        <v>40.590000152587891</v>
      </c>
      <c r="BQ144" s="13">
        <v>40.665000915527337</v>
      </c>
      <c r="BR144" s="13">
        <v>38.599998474121087</v>
      </c>
      <c r="BS144" s="13">
        <v>39.034999847412109</v>
      </c>
      <c r="BT144" s="13">
        <v>25.858200073242191</v>
      </c>
      <c r="BU144" s="13">
        <v>64643600</v>
      </c>
      <c r="BV144" s="13">
        <v>0</v>
      </c>
      <c r="BW144" s="14">
        <v>0</v>
      </c>
    </row>
    <row r="145" spans="66:75" x14ac:dyDescent="0.25">
      <c r="BN145" s="17" t="str">
        <f t="shared" si="2"/>
        <v/>
      </c>
      <c r="BO145" s="19" t="s">
        <v>386</v>
      </c>
      <c r="BP145" s="13">
        <v>43.009998321533203</v>
      </c>
      <c r="BQ145" s="13">
        <v>43.520000457763672</v>
      </c>
      <c r="BR145" s="13">
        <v>39.845001220703118</v>
      </c>
      <c r="BS145" s="13">
        <v>40.415000915527337</v>
      </c>
      <c r="BT145" s="13">
        <v>26.772365570068359</v>
      </c>
      <c r="BU145" s="13">
        <v>34463600</v>
      </c>
      <c r="BV145" s="13">
        <v>0</v>
      </c>
      <c r="BW145" s="14">
        <v>0</v>
      </c>
    </row>
    <row r="146" spans="66:75" x14ac:dyDescent="0.25">
      <c r="BN146" s="17" t="str">
        <f t="shared" si="2"/>
        <v/>
      </c>
      <c r="BO146" s="19" t="s">
        <v>387</v>
      </c>
      <c r="BP146" s="13"/>
      <c r="BQ146" s="13"/>
      <c r="BR146" s="13"/>
      <c r="BS146" s="13"/>
      <c r="BT146" s="13"/>
      <c r="BU146" s="13"/>
      <c r="BV146" s="13">
        <v>0.47549999999999998</v>
      </c>
      <c r="BW146" s="14">
        <v>0</v>
      </c>
    </row>
    <row r="147" spans="66:75" x14ac:dyDescent="0.25">
      <c r="BN147" s="17" t="str">
        <f t="shared" si="2"/>
        <v/>
      </c>
      <c r="BO147" s="19" t="s">
        <v>388</v>
      </c>
      <c r="BP147" s="13">
        <v>44.5</v>
      </c>
      <c r="BQ147" s="13">
        <v>44.825000762939453</v>
      </c>
      <c r="BR147" s="13">
        <v>42.360000610351563</v>
      </c>
      <c r="BS147" s="13">
        <v>43.104999542236328</v>
      </c>
      <c r="BT147" s="13">
        <v>28.55430793762207</v>
      </c>
      <c r="BU147" s="13">
        <v>37976800</v>
      </c>
      <c r="BV147" s="13">
        <v>0</v>
      </c>
      <c r="BW147" s="14">
        <v>0</v>
      </c>
    </row>
    <row r="148" spans="66:75" x14ac:dyDescent="0.25">
      <c r="BN148" s="17" t="str">
        <f t="shared" si="2"/>
        <v/>
      </c>
      <c r="BO148" s="19" t="s">
        <v>389</v>
      </c>
      <c r="BP148" s="13">
        <v>42.705001831054688</v>
      </c>
      <c r="BQ148" s="13">
        <v>46.110000610351563</v>
      </c>
      <c r="BR148" s="13">
        <v>42.365001678466797</v>
      </c>
      <c r="BS148" s="13">
        <v>44</v>
      </c>
      <c r="BT148" s="13">
        <v>28.833383560180661</v>
      </c>
      <c r="BU148" s="13">
        <v>15687200</v>
      </c>
      <c r="BV148" s="13">
        <v>0</v>
      </c>
      <c r="BW148" s="14">
        <v>0</v>
      </c>
    </row>
    <row r="149" spans="66:75" x14ac:dyDescent="0.25">
      <c r="BN149" s="17" t="str">
        <f t="shared" si="2"/>
        <v>2017</v>
      </c>
      <c r="BO149" s="19" t="s">
        <v>390</v>
      </c>
      <c r="BP149" s="13">
        <v>40.919998168945313</v>
      </c>
      <c r="BQ149" s="13">
        <v>43.215000152587891</v>
      </c>
      <c r="BR149" s="13">
        <v>40.919998168945313</v>
      </c>
      <c r="BS149" s="13">
        <v>42.599998474121087</v>
      </c>
      <c r="BT149" s="13">
        <v>27.91595458984375</v>
      </c>
      <c r="BU149" s="13">
        <v>16425000</v>
      </c>
      <c r="BV149" s="13">
        <v>0</v>
      </c>
      <c r="BW149" s="14">
        <v>0</v>
      </c>
    </row>
    <row r="150" spans="66:75" x14ac:dyDescent="0.25">
      <c r="BN150" s="17" t="str">
        <f t="shared" si="2"/>
        <v/>
      </c>
      <c r="BO150" s="19" t="s">
        <v>391</v>
      </c>
      <c r="BP150" s="13"/>
      <c r="BQ150" s="13"/>
      <c r="BR150" s="13"/>
      <c r="BS150" s="13"/>
      <c r="BT150" s="13"/>
      <c r="BU150" s="13"/>
      <c r="BV150" s="13">
        <v>0.46200000000000002</v>
      </c>
      <c r="BW150" s="14">
        <v>0</v>
      </c>
    </row>
    <row r="151" spans="66:75" x14ac:dyDescent="0.25">
      <c r="BN151" s="17" t="str">
        <f t="shared" si="2"/>
        <v/>
      </c>
      <c r="BO151" s="19" t="s">
        <v>392</v>
      </c>
      <c r="BP151" s="13">
        <v>39.834999084472663</v>
      </c>
      <c r="BQ151" s="13">
        <v>42.830001831054688</v>
      </c>
      <c r="BR151" s="13">
        <v>39.834999084472663</v>
      </c>
      <c r="BS151" s="13">
        <v>40.799999237060547</v>
      </c>
      <c r="BT151" s="13">
        <v>26.736417770385739</v>
      </c>
      <c r="BU151" s="13">
        <v>41102600</v>
      </c>
      <c r="BV151" s="13">
        <v>0</v>
      </c>
      <c r="BW151" s="14">
        <v>0</v>
      </c>
    </row>
    <row r="152" spans="66:75" x14ac:dyDescent="0.25">
      <c r="BN152" s="17" t="str">
        <f t="shared" si="2"/>
        <v/>
      </c>
      <c r="BO152" s="19" t="s">
        <v>393</v>
      </c>
      <c r="BP152" s="13">
        <v>37.520000457763672</v>
      </c>
      <c r="BQ152" s="13">
        <v>39.674999237060547</v>
      </c>
      <c r="BR152" s="13">
        <v>36.310001373291023</v>
      </c>
      <c r="BS152" s="13">
        <v>39.334999084472663</v>
      </c>
      <c r="BT152" s="13">
        <v>25.490947723388668</v>
      </c>
      <c r="BU152" s="13">
        <v>24264400</v>
      </c>
      <c r="BV152" s="13">
        <v>0</v>
      </c>
      <c r="BW152" s="14">
        <v>0</v>
      </c>
    </row>
    <row r="153" spans="66:75" x14ac:dyDescent="0.25">
      <c r="BN153" s="17" t="str">
        <f t="shared" si="2"/>
        <v/>
      </c>
      <c r="BO153" s="19" t="s">
        <v>394</v>
      </c>
      <c r="BP153" s="13">
        <v>38.630001068115227</v>
      </c>
      <c r="BQ153" s="13">
        <v>38.869998931884773</v>
      </c>
      <c r="BR153" s="13">
        <v>37.340000152587891</v>
      </c>
      <c r="BS153" s="13">
        <v>37.479999542236328</v>
      </c>
      <c r="BT153" s="13">
        <v>24.288825988769531</v>
      </c>
      <c r="BU153" s="13">
        <v>18693200</v>
      </c>
      <c r="BV153" s="13">
        <v>0</v>
      </c>
      <c r="BW153" s="14">
        <v>0</v>
      </c>
    </row>
    <row r="154" spans="66:75" x14ac:dyDescent="0.25">
      <c r="BN154" s="17" t="str">
        <f t="shared" si="2"/>
        <v/>
      </c>
      <c r="BO154" s="19" t="s">
        <v>395</v>
      </c>
      <c r="BP154" s="13"/>
      <c r="BQ154" s="13"/>
      <c r="BR154" s="13"/>
      <c r="BS154" s="13"/>
      <c r="BT154" s="13"/>
      <c r="BU154" s="13"/>
      <c r="BV154" s="13">
        <v>0.45950000000000002</v>
      </c>
      <c r="BW154" s="14">
        <v>0</v>
      </c>
    </row>
    <row r="155" spans="66:75" x14ac:dyDescent="0.25">
      <c r="BN155" s="17" t="str">
        <f t="shared" si="2"/>
        <v/>
      </c>
      <c r="BO155" s="19" t="s">
        <v>396</v>
      </c>
      <c r="BP155" s="13">
        <v>39.514999389648438</v>
      </c>
      <c r="BQ155" s="13">
        <v>40.549999237060547</v>
      </c>
      <c r="BR155" s="13">
        <v>37.709999084472663</v>
      </c>
      <c r="BS155" s="13">
        <v>38.764999389648438</v>
      </c>
      <c r="BT155" s="13">
        <v>25.121562957763668</v>
      </c>
      <c r="BU155" s="13">
        <v>18612600</v>
      </c>
      <c r="BV155" s="13">
        <v>0</v>
      </c>
      <c r="BW155" s="14">
        <v>0</v>
      </c>
    </row>
    <row r="156" spans="66:75" x14ac:dyDescent="0.25">
      <c r="BN156" s="17" t="str">
        <f t="shared" si="2"/>
        <v/>
      </c>
      <c r="BO156" s="19" t="s">
        <v>397</v>
      </c>
      <c r="BP156" s="13">
        <v>37.935001373291023</v>
      </c>
      <c r="BQ156" s="13">
        <v>40.424999237060547</v>
      </c>
      <c r="BR156" s="13">
        <v>37.194999694824219</v>
      </c>
      <c r="BS156" s="13">
        <v>39.639999389648438</v>
      </c>
      <c r="BT156" s="13">
        <v>25.384733200073239</v>
      </c>
      <c r="BU156" s="13">
        <v>17318600</v>
      </c>
      <c r="BV156" s="13">
        <v>0</v>
      </c>
      <c r="BW156" s="14">
        <v>0</v>
      </c>
    </row>
    <row r="157" spans="66:75" x14ac:dyDescent="0.25">
      <c r="BN157" s="17" t="str">
        <f t="shared" si="2"/>
        <v/>
      </c>
      <c r="BO157" s="19" t="s">
        <v>398</v>
      </c>
      <c r="BP157" s="13">
        <v>37.389999389648438</v>
      </c>
      <c r="BQ157" s="13">
        <v>38.560001373291023</v>
      </c>
      <c r="BR157" s="13">
        <v>36.645000457763672</v>
      </c>
      <c r="BS157" s="13">
        <v>37.974998474121087</v>
      </c>
      <c r="BT157" s="13">
        <v>24.318489074707031</v>
      </c>
      <c r="BU157" s="13">
        <v>30375600</v>
      </c>
      <c r="BV157" s="13">
        <v>0</v>
      </c>
      <c r="BW157" s="14">
        <v>0</v>
      </c>
    </row>
    <row r="158" spans="66:75" x14ac:dyDescent="0.25">
      <c r="BN158" s="17" t="str">
        <f t="shared" si="2"/>
        <v/>
      </c>
      <c r="BO158" s="19" t="s">
        <v>399</v>
      </c>
      <c r="BP158" s="13"/>
      <c r="BQ158" s="13"/>
      <c r="BR158" s="13"/>
      <c r="BS158" s="13"/>
      <c r="BT158" s="13"/>
      <c r="BU158" s="13"/>
      <c r="BV158" s="13">
        <v>0.47449999999999998</v>
      </c>
      <c r="BW158" s="14">
        <v>0</v>
      </c>
    </row>
    <row r="159" spans="66:75" x14ac:dyDescent="0.25">
      <c r="BN159" s="17" t="str">
        <f t="shared" si="2"/>
        <v/>
      </c>
      <c r="BO159" s="19" t="s">
        <v>400</v>
      </c>
      <c r="BP159" s="13">
        <v>38.700000762939453</v>
      </c>
      <c r="BQ159" s="13">
        <v>41.299999237060547</v>
      </c>
      <c r="BR159" s="13">
        <v>37.029998779296882</v>
      </c>
      <c r="BS159" s="13">
        <v>37.534999847412109</v>
      </c>
      <c r="BT159" s="13">
        <v>24.036725997924801</v>
      </c>
      <c r="BU159" s="13">
        <v>25224400</v>
      </c>
      <c r="BV159" s="13">
        <v>0</v>
      </c>
      <c r="BW159" s="14">
        <v>0</v>
      </c>
    </row>
    <row r="160" spans="66:75" x14ac:dyDescent="0.25">
      <c r="BN160" s="17" t="str">
        <f t="shared" si="2"/>
        <v/>
      </c>
      <c r="BO160" s="19" t="s">
        <v>401</v>
      </c>
      <c r="BP160" s="13">
        <v>40.595001220703118</v>
      </c>
      <c r="BQ160" s="13">
        <v>40.595001220703118</v>
      </c>
      <c r="BR160" s="13">
        <v>37.840000152587891</v>
      </c>
      <c r="BS160" s="13">
        <v>38.810001373291023</v>
      </c>
      <c r="BT160" s="13">
        <v>24.56346321105957</v>
      </c>
      <c r="BU160" s="13">
        <v>10957400</v>
      </c>
      <c r="BV160" s="13">
        <v>0</v>
      </c>
      <c r="BW160" s="14">
        <v>0</v>
      </c>
    </row>
    <row r="161" spans="66:75" x14ac:dyDescent="0.25">
      <c r="BN161" s="17" t="str">
        <f t="shared" si="2"/>
        <v/>
      </c>
      <c r="BO161" s="19" t="s">
        <v>402</v>
      </c>
      <c r="BP161" s="13">
        <v>36.680000305175781</v>
      </c>
      <c r="BQ161" s="13">
        <v>40.869998931884773</v>
      </c>
      <c r="BR161" s="13">
        <v>36.009998321533203</v>
      </c>
      <c r="BS161" s="13">
        <v>40.384998321533203</v>
      </c>
      <c r="BT161" s="13">
        <v>25.560298919677731</v>
      </c>
      <c r="BU161" s="13">
        <v>9948800</v>
      </c>
      <c r="BV161" s="13">
        <v>0</v>
      </c>
      <c r="BW161" s="14">
        <v>0</v>
      </c>
    </row>
    <row r="162" spans="66:75" x14ac:dyDescent="0.25">
      <c r="BN162" s="17" t="str">
        <f t="shared" si="2"/>
        <v/>
      </c>
      <c r="BO162" s="19" t="s">
        <v>403</v>
      </c>
      <c r="BP162" s="13"/>
      <c r="BQ162" s="13"/>
      <c r="BR162" s="13"/>
      <c r="BS162" s="13"/>
      <c r="BT162" s="13"/>
      <c r="BU162" s="13"/>
      <c r="BV162" s="13">
        <v>0.45200000000000001</v>
      </c>
      <c r="BW162" s="14">
        <v>0</v>
      </c>
    </row>
    <row r="163" spans="66:75" x14ac:dyDescent="0.25">
      <c r="BN163" s="17" t="str">
        <f t="shared" si="2"/>
        <v/>
      </c>
      <c r="BO163" s="19" t="s">
        <v>404</v>
      </c>
      <c r="BP163" s="13">
        <v>33.465000152587891</v>
      </c>
      <c r="BQ163" s="13">
        <v>38.275001525878913</v>
      </c>
      <c r="BR163" s="13">
        <v>33.465000152587891</v>
      </c>
      <c r="BS163" s="13">
        <v>37.354999542236328</v>
      </c>
      <c r="BT163" s="13">
        <v>23.642570495605469</v>
      </c>
      <c r="BU163" s="13">
        <v>15069600</v>
      </c>
      <c r="BV163" s="13">
        <v>0</v>
      </c>
      <c r="BW163" s="14">
        <v>0</v>
      </c>
    </row>
    <row r="164" spans="66:75" x14ac:dyDescent="0.25">
      <c r="BN164" s="17" t="str">
        <f t="shared" si="2"/>
        <v/>
      </c>
      <c r="BO164" s="19" t="s">
        <v>405</v>
      </c>
      <c r="BP164" s="13">
        <v>32.244998931884773</v>
      </c>
      <c r="BQ164" s="13">
        <v>33.604999542236328</v>
      </c>
      <c r="BR164" s="13">
        <v>29.520000457763668</v>
      </c>
      <c r="BS164" s="13">
        <v>33.145000457763672</v>
      </c>
      <c r="BT164" s="13">
        <v>20.72670936584473</v>
      </c>
      <c r="BU164" s="13">
        <v>16665600</v>
      </c>
      <c r="BV164" s="13">
        <v>0</v>
      </c>
      <c r="BW164" s="14">
        <v>0</v>
      </c>
    </row>
    <row r="165" spans="66:75" x14ac:dyDescent="0.25">
      <c r="BN165" s="17" t="str">
        <f t="shared" si="2"/>
        <v>2016</v>
      </c>
      <c r="BO165" s="19" t="s">
        <v>406</v>
      </c>
      <c r="BP165" s="13">
        <v>32.520000457763672</v>
      </c>
      <c r="BQ165" s="13">
        <v>32.974998474121087</v>
      </c>
      <c r="BR165" s="13">
        <v>28.145000457763668</v>
      </c>
      <c r="BS165" s="13">
        <v>32.424999237060547</v>
      </c>
      <c r="BT165" s="13">
        <v>20.276472091674801</v>
      </c>
      <c r="BU165" s="13">
        <v>15018000</v>
      </c>
      <c r="BV165" s="13">
        <v>0</v>
      </c>
      <c r="BW165" s="14">
        <v>0</v>
      </c>
    </row>
    <row r="166" spans="66:75" x14ac:dyDescent="0.25">
      <c r="BN166" s="17" t="str">
        <f t="shared" si="2"/>
        <v/>
      </c>
      <c r="BO166" s="19" t="s">
        <v>407</v>
      </c>
      <c r="BP166" s="13"/>
      <c r="BQ166" s="13"/>
      <c r="BR166" s="13"/>
      <c r="BS166" s="13"/>
      <c r="BT166" s="13"/>
      <c r="BU166" s="13"/>
      <c r="BV166" s="13">
        <v>0.41299999999999998</v>
      </c>
      <c r="BW166" s="14">
        <v>0</v>
      </c>
    </row>
    <row r="167" spans="66:75" x14ac:dyDescent="0.25">
      <c r="BN167" s="17" t="str">
        <f t="shared" si="2"/>
        <v/>
      </c>
      <c r="BO167" s="19" t="s">
        <v>408</v>
      </c>
      <c r="BP167" s="13">
        <v>37.650001525878913</v>
      </c>
      <c r="BQ167" s="13">
        <v>38.044998168945313</v>
      </c>
      <c r="BR167" s="13">
        <v>32.919998168945313</v>
      </c>
      <c r="BS167" s="13">
        <v>32.935001373291023</v>
      </c>
      <c r="BT167" s="13">
        <v>20.595399856567379</v>
      </c>
      <c r="BU167" s="13">
        <v>17199400</v>
      </c>
      <c r="BV167" s="13">
        <v>0</v>
      </c>
      <c r="BW167" s="14">
        <v>0</v>
      </c>
    </row>
    <row r="168" spans="66:75" x14ac:dyDescent="0.25">
      <c r="BN168" s="17" t="str">
        <f t="shared" si="2"/>
        <v/>
      </c>
      <c r="BO168" s="19" t="s">
        <v>409</v>
      </c>
      <c r="BP168" s="13">
        <v>38.395000457763672</v>
      </c>
      <c r="BQ168" s="13">
        <v>38.415000915527337</v>
      </c>
      <c r="BR168" s="13">
        <v>36.334999084472663</v>
      </c>
      <c r="BS168" s="13">
        <v>37.599998474121087</v>
      </c>
      <c r="BT168" s="13">
        <v>23.22153472900391</v>
      </c>
      <c r="BU168" s="13">
        <v>7892200</v>
      </c>
      <c r="BV168" s="13">
        <v>0</v>
      </c>
      <c r="BW168" s="14">
        <v>0</v>
      </c>
    </row>
    <row r="169" spans="66:75" x14ac:dyDescent="0.25">
      <c r="BN169" s="17" t="str">
        <f t="shared" si="2"/>
        <v/>
      </c>
      <c r="BO169" s="19" t="s">
        <v>410</v>
      </c>
      <c r="BP169" s="13">
        <v>36.330001831054688</v>
      </c>
      <c r="BQ169" s="13">
        <v>39.115001678466797</v>
      </c>
      <c r="BR169" s="13">
        <v>35.665000915527337</v>
      </c>
      <c r="BS169" s="13">
        <v>38.275001525878913</v>
      </c>
      <c r="BT169" s="13">
        <v>23.638418197631839</v>
      </c>
      <c r="BU169" s="13">
        <v>10716200</v>
      </c>
      <c r="BV169" s="13">
        <v>0</v>
      </c>
      <c r="BW169" s="14">
        <v>0</v>
      </c>
    </row>
    <row r="170" spans="66:75" x14ac:dyDescent="0.25">
      <c r="BN170" s="17" t="str">
        <f t="shared" si="2"/>
        <v/>
      </c>
      <c r="BO170" s="19" t="s">
        <v>411</v>
      </c>
      <c r="BP170" s="13"/>
      <c r="BQ170" s="13"/>
      <c r="BR170" s="13"/>
      <c r="BS170" s="13"/>
      <c r="BT170" s="13"/>
      <c r="BU170" s="13"/>
      <c r="BV170" s="13">
        <v>0.42049999999999998</v>
      </c>
      <c r="BW170" s="14">
        <v>0</v>
      </c>
    </row>
    <row r="171" spans="66:75" x14ac:dyDescent="0.25">
      <c r="BN171" s="17" t="str">
        <f t="shared" si="2"/>
        <v/>
      </c>
      <c r="BO171" s="19" t="s">
        <v>412</v>
      </c>
      <c r="BP171" s="13">
        <v>36.060001373291023</v>
      </c>
      <c r="BQ171" s="13">
        <v>36.689998626708977</v>
      </c>
      <c r="BR171" s="13">
        <v>34.25</v>
      </c>
      <c r="BS171" s="13">
        <v>35.979999542236328</v>
      </c>
      <c r="BT171" s="13">
        <v>22.221035003662109</v>
      </c>
      <c r="BU171" s="13">
        <v>13158600</v>
      </c>
      <c r="BV171" s="13">
        <v>0</v>
      </c>
      <c r="BW171" s="14">
        <v>0</v>
      </c>
    </row>
    <row r="172" spans="66:75" x14ac:dyDescent="0.25">
      <c r="BN172" s="17" t="str">
        <f t="shared" si="2"/>
        <v/>
      </c>
      <c r="BO172" s="19" t="s">
        <v>413</v>
      </c>
      <c r="BP172" s="13">
        <v>35.619998931884773</v>
      </c>
      <c r="BQ172" s="13">
        <v>36.814998626708977</v>
      </c>
      <c r="BR172" s="13">
        <v>31.20999908447266</v>
      </c>
      <c r="BS172" s="13">
        <v>36.680000305175781</v>
      </c>
      <c r="BT172" s="13">
        <v>22.383077621459961</v>
      </c>
      <c r="BU172" s="13">
        <v>17581000</v>
      </c>
      <c r="BV172" s="13">
        <v>0</v>
      </c>
      <c r="BW172" s="14">
        <v>0</v>
      </c>
    </row>
    <row r="173" spans="66:75" x14ac:dyDescent="0.25">
      <c r="BN173" s="17" t="str">
        <f t="shared" si="2"/>
        <v/>
      </c>
      <c r="BO173" s="19" t="s">
        <v>414</v>
      </c>
      <c r="BP173" s="13">
        <v>36.990001678466797</v>
      </c>
      <c r="BQ173" s="13">
        <v>37.255001068115227</v>
      </c>
      <c r="BR173" s="13">
        <v>34.215000152587891</v>
      </c>
      <c r="BS173" s="13">
        <v>35.715000152587891</v>
      </c>
      <c r="BT173" s="13">
        <v>21.794206619262699</v>
      </c>
      <c r="BU173" s="13">
        <v>15985400</v>
      </c>
      <c r="BV173" s="13">
        <v>0</v>
      </c>
      <c r="BW173" s="14">
        <v>0</v>
      </c>
    </row>
    <row r="174" spans="66:75" x14ac:dyDescent="0.25">
      <c r="BN174" s="17" t="str">
        <f t="shared" si="2"/>
        <v/>
      </c>
      <c r="BO174" s="19" t="s">
        <v>415</v>
      </c>
      <c r="BP174" s="13"/>
      <c r="BQ174" s="13"/>
      <c r="BR174" s="13"/>
      <c r="BS174" s="13"/>
      <c r="BT174" s="13"/>
      <c r="BU174" s="13"/>
      <c r="BV174" s="13">
        <v>0.44</v>
      </c>
      <c r="BW174" s="14">
        <v>0</v>
      </c>
    </row>
    <row r="175" spans="66:75" x14ac:dyDescent="0.25">
      <c r="BN175" s="17" t="str">
        <f t="shared" si="2"/>
        <v/>
      </c>
      <c r="BO175" s="19" t="s">
        <v>416</v>
      </c>
      <c r="BP175" s="13">
        <v>38.090000152587891</v>
      </c>
      <c r="BQ175" s="13">
        <v>38.705001831054688</v>
      </c>
      <c r="BR175" s="13">
        <v>36.845001220703118</v>
      </c>
      <c r="BS175" s="13">
        <v>36.860000610351563</v>
      </c>
      <c r="BT175" s="13">
        <v>22.492918014526371</v>
      </c>
      <c r="BU175" s="13">
        <v>16207200</v>
      </c>
      <c r="BV175" s="13">
        <v>0</v>
      </c>
      <c r="BW175" s="14">
        <v>0</v>
      </c>
    </row>
    <row r="176" spans="66:75" x14ac:dyDescent="0.25">
      <c r="BN176" s="17" t="str">
        <f t="shared" si="2"/>
        <v/>
      </c>
      <c r="BO176" s="19" t="s">
        <v>417</v>
      </c>
      <c r="BP176" s="13">
        <v>40.099998474121087</v>
      </c>
      <c r="BQ176" s="13">
        <v>40.205001831054688</v>
      </c>
      <c r="BR176" s="13">
        <v>37.689998626708977</v>
      </c>
      <c r="BS176" s="13">
        <v>38.169998168945313</v>
      </c>
      <c r="BT176" s="13">
        <v>23.027524948120121</v>
      </c>
      <c r="BU176" s="13">
        <v>10021800</v>
      </c>
      <c r="BV176" s="13">
        <v>0</v>
      </c>
      <c r="BW176" s="14">
        <v>0</v>
      </c>
    </row>
    <row r="177" spans="66:75" x14ac:dyDescent="0.25">
      <c r="BN177" s="17" t="str">
        <f t="shared" si="2"/>
        <v/>
      </c>
      <c r="BO177" s="19" t="s">
        <v>418</v>
      </c>
      <c r="BP177" s="13">
        <v>36.294998168945313</v>
      </c>
      <c r="BQ177" s="13">
        <v>40.799999237060547</v>
      </c>
      <c r="BR177" s="13">
        <v>36.049999237060547</v>
      </c>
      <c r="BS177" s="13">
        <v>40.139999389648438</v>
      </c>
      <c r="BT177" s="13">
        <v>24.216012954711911</v>
      </c>
      <c r="BU177" s="13">
        <v>12332200</v>
      </c>
      <c r="BV177" s="13">
        <v>0</v>
      </c>
      <c r="BW177" s="14">
        <v>0</v>
      </c>
    </row>
    <row r="178" spans="66:75" x14ac:dyDescent="0.25">
      <c r="BN178" s="17" t="str">
        <f t="shared" si="2"/>
        <v/>
      </c>
      <c r="BO178" s="19" t="s">
        <v>419</v>
      </c>
      <c r="BP178" s="13"/>
      <c r="BQ178" s="13"/>
      <c r="BR178" s="13"/>
      <c r="BS178" s="13"/>
      <c r="BT178" s="13"/>
      <c r="BU178" s="13"/>
      <c r="BV178" s="13">
        <v>0.42399999999999999</v>
      </c>
      <c r="BW178" s="14">
        <v>0</v>
      </c>
    </row>
    <row r="179" spans="66:75" x14ac:dyDescent="0.25">
      <c r="BN179" s="17" t="str">
        <f t="shared" si="2"/>
        <v/>
      </c>
      <c r="BO179" s="19" t="s">
        <v>420</v>
      </c>
      <c r="BP179" s="13">
        <v>38.485000610351563</v>
      </c>
      <c r="BQ179" s="13">
        <v>38.610000610351563</v>
      </c>
      <c r="BR179" s="13">
        <v>35.465000152587891</v>
      </c>
      <c r="BS179" s="13">
        <v>36.25</v>
      </c>
      <c r="BT179" s="13">
        <v>21.869211196899411</v>
      </c>
      <c r="BU179" s="13">
        <v>15108400</v>
      </c>
      <c r="BV179" s="13">
        <v>0</v>
      </c>
      <c r="BW179" s="14">
        <v>0</v>
      </c>
    </row>
    <row r="180" spans="66:75" x14ac:dyDescent="0.25">
      <c r="BN180" s="17" t="str">
        <f t="shared" si="2"/>
        <v/>
      </c>
      <c r="BO180" s="19" t="s">
        <v>421</v>
      </c>
      <c r="BP180" s="13">
        <v>35.134998321533203</v>
      </c>
      <c r="BQ180" s="13">
        <v>38.729999542236328</v>
      </c>
      <c r="BR180" s="13">
        <v>35.084999084472663</v>
      </c>
      <c r="BS180" s="13">
        <v>38.25</v>
      </c>
      <c r="BT180" s="13">
        <v>22.81512451171875</v>
      </c>
      <c r="BU180" s="13">
        <v>14954000</v>
      </c>
      <c r="BV180" s="13">
        <v>0</v>
      </c>
      <c r="BW180" s="14">
        <v>0</v>
      </c>
    </row>
    <row r="181" spans="66:75" x14ac:dyDescent="0.25">
      <c r="BN181" s="17" t="str">
        <f t="shared" si="2"/>
        <v>2015</v>
      </c>
      <c r="BO181" s="19" t="s">
        <v>422</v>
      </c>
      <c r="BP181" s="13">
        <v>42.75</v>
      </c>
      <c r="BQ181" s="13">
        <v>43.064998626708977</v>
      </c>
      <c r="BR181" s="13">
        <v>34.580001831054688</v>
      </c>
      <c r="BS181" s="13">
        <v>34.709999084472663</v>
      </c>
      <c r="BT181" s="13">
        <v>20.703607559204102</v>
      </c>
      <c r="BU181" s="13">
        <v>18686400</v>
      </c>
      <c r="BV181" s="13">
        <v>0</v>
      </c>
      <c r="BW181" s="14">
        <v>0</v>
      </c>
    </row>
    <row r="182" spans="66:75" x14ac:dyDescent="0.25">
      <c r="BN182" s="17" t="str">
        <f t="shared" si="2"/>
        <v/>
      </c>
      <c r="BO182" s="19" t="s">
        <v>423</v>
      </c>
      <c r="BP182" s="13"/>
      <c r="BQ182" s="13"/>
      <c r="BR182" s="13"/>
      <c r="BS182" s="13"/>
      <c r="BT182" s="13"/>
      <c r="BU182" s="13"/>
      <c r="BV182" s="13">
        <v>0.443</v>
      </c>
      <c r="BW182" s="14">
        <v>0</v>
      </c>
    </row>
    <row r="183" spans="66:75" x14ac:dyDescent="0.25">
      <c r="BN183" s="17" t="str">
        <f t="shared" si="2"/>
        <v/>
      </c>
      <c r="BO183" s="19" t="s">
        <v>424</v>
      </c>
      <c r="BP183" s="13"/>
      <c r="BQ183" s="13"/>
      <c r="BR183" s="13"/>
      <c r="BS183" s="13"/>
      <c r="BT183" s="13"/>
      <c r="BU183" s="13"/>
      <c r="BV183" s="13">
        <v>0.443</v>
      </c>
      <c r="BW183" s="14">
        <v>0</v>
      </c>
    </row>
    <row r="184" spans="66:75" x14ac:dyDescent="0.25">
      <c r="BN184" s="17" t="str">
        <f t="shared" si="2"/>
        <v/>
      </c>
      <c r="BO184" s="19" t="s">
        <v>425</v>
      </c>
      <c r="BP184" s="13">
        <v>46.810001373291023</v>
      </c>
      <c r="BQ184" s="13">
        <v>47.194999694824219</v>
      </c>
      <c r="BR184" s="13">
        <v>41.474998474121087</v>
      </c>
      <c r="BS184" s="13">
        <v>42.974998474121087</v>
      </c>
      <c r="BT184" s="13">
        <v>25.63345909118652</v>
      </c>
      <c r="BU184" s="13">
        <v>12869600</v>
      </c>
      <c r="BV184" s="13">
        <v>0</v>
      </c>
      <c r="BW184" s="14">
        <v>0</v>
      </c>
    </row>
    <row r="185" spans="66:75" x14ac:dyDescent="0.25">
      <c r="BN185" s="17" t="str">
        <f t="shared" si="2"/>
        <v/>
      </c>
      <c r="BO185" s="19" t="s">
        <v>426</v>
      </c>
      <c r="BP185" s="13">
        <v>45.619998931884773</v>
      </c>
      <c r="BQ185" s="13">
        <v>47.290000915527337</v>
      </c>
      <c r="BR185" s="13">
        <v>44.825000762939453</v>
      </c>
      <c r="BS185" s="13">
        <v>46.694999694824219</v>
      </c>
      <c r="BT185" s="13">
        <v>27.287954330444339</v>
      </c>
      <c r="BU185" s="13">
        <v>5119400</v>
      </c>
      <c r="BV185" s="13">
        <v>0</v>
      </c>
      <c r="BW185" s="14">
        <v>0</v>
      </c>
    </row>
    <row r="186" spans="66:75" x14ac:dyDescent="0.25">
      <c r="BN186" s="17" t="str">
        <f t="shared" si="2"/>
        <v/>
      </c>
      <c r="BO186" s="19" t="s">
        <v>427</v>
      </c>
      <c r="BP186" s="13">
        <v>45.014999389648438</v>
      </c>
      <c r="BQ186" s="13">
        <v>46.064998626708977</v>
      </c>
      <c r="BR186" s="13">
        <v>41.5</v>
      </c>
      <c r="BS186" s="13">
        <v>45.674999237060547</v>
      </c>
      <c r="BT186" s="13">
        <v>26.6918830871582</v>
      </c>
      <c r="BU186" s="13">
        <v>11232200</v>
      </c>
      <c r="BV186" s="13">
        <v>0</v>
      </c>
      <c r="BW186" s="14">
        <v>0</v>
      </c>
    </row>
    <row r="187" spans="66:75" x14ac:dyDescent="0.25">
      <c r="BN187" s="17" t="str">
        <f t="shared" si="2"/>
        <v/>
      </c>
      <c r="BO187" s="19" t="s">
        <v>428</v>
      </c>
      <c r="BP187" s="13"/>
      <c r="BQ187" s="13"/>
      <c r="BR187" s="13"/>
      <c r="BS187" s="13"/>
      <c r="BT187" s="13"/>
      <c r="BU187" s="13"/>
      <c r="BV187" s="13">
        <v>0.45250000000000001</v>
      </c>
      <c r="BW187" s="14">
        <v>0</v>
      </c>
    </row>
    <row r="188" spans="66:75" x14ac:dyDescent="0.25">
      <c r="BN188" s="17" t="str">
        <f t="shared" si="2"/>
        <v/>
      </c>
      <c r="BO188" s="19" t="s">
        <v>429</v>
      </c>
      <c r="BP188" s="13">
        <v>47.650001525878913</v>
      </c>
      <c r="BQ188" s="13">
        <v>48.985000610351563</v>
      </c>
      <c r="BR188" s="13">
        <v>44.564998626708977</v>
      </c>
      <c r="BS188" s="13">
        <v>44.924999237060547</v>
      </c>
      <c r="BT188" s="13">
        <v>26.253591537475589</v>
      </c>
      <c r="BU188" s="13">
        <v>7895600</v>
      </c>
      <c r="BV188" s="13">
        <v>0</v>
      </c>
      <c r="BW188" s="14">
        <v>0</v>
      </c>
    </row>
    <row r="189" spans="66:75" x14ac:dyDescent="0.25">
      <c r="BN189" s="17" t="str">
        <f t="shared" si="2"/>
        <v/>
      </c>
      <c r="BO189" s="19" t="s">
        <v>430</v>
      </c>
      <c r="BP189" s="13">
        <v>46.244998931884773</v>
      </c>
      <c r="BQ189" s="13">
        <v>48.615001678466797</v>
      </c>
      <c r="BR189" s="13">
        <v>44.970001220703118</v>
      </c>
      <c r="BS189" s="13">
        <v>47.794998168945313</v>
      </c>
      <c r="BT189" s="13">
        <v>27.6645393371582</v>
      </c>
      <c r="BU189" s="13">
        <v>7089800</v>
      </c>
      <c r="BV189" s="13">
        <v>0</v>
      </c>
      <c r="BW189" s="14">
        <v>0</v>
      </c>
    </row>
    <row r="190" spans="66:75" x14ac:dyDescent="0.25">
      <c r="BN190" s="17" t="str">
        <f t="shared" si="2"/>
        <v/>
      </c>
      <c r="BO190" s="19" t="s">
        <v>431</v>
      </c>
      <c r="BP190" s="13">
        <v>45.639999389648438</v>
      </c>
      <c r="BQ190" s="13">
        <v>47.150001525878913</v>
      </c>
      <c r="BR190" s="13">
        <v>45.455001831054688</v>
      </c>
      <c r="BS190" s="13">
        <v>46.369998931884773</v>
      </c>
      <c r="BT190" s="13">
        <v>26.839706420898441</v>
      </c>
      <c r="BU190" s="13">
        <v>5804600</v>
      </c>
      <c r="BV190" s="13">
        <v>0</v>
      </c>
      <c r="BW190" s="14">
        <v>0</v>
      </c>
    </row>
    <row r="191" spans="66:75" x14ac:dyDescent="0.25">
      <c r="BN191" s="17" t="str">
        <f t="shared" si="2"/>
        <v/>
      </c>
      <c r="BO191" s="19" t="s">
        <v>432</v>
      </c>
      <c r="BP191" s="13"/>
      <c r="BQ191" s="13"/>
      <c r="BR191" s="13"/>
      <c r="BS191" s="13"/>
      <c r="BT191" s="13"/>
      <c r="BU191" s="13"/>
      <c r="BV191" s="13">
        <v>0.46550000000000002</v>
      </c>
      <c r="BW191" s="14">
        <v>0</v>
      </c>
    </row>
    <row r="192" spans="66:75" x14ac:dyDescent="0.25">
      <c r="BN192" s="17" t="str">
        <f t="shared" si="2"/>
        <v/>
      </c>
      <c r="BO192" s="19" t="s">
        <v>433</v>
      </c>
      <c r="BP192" s="13">
        <v>44.145000457763672</v>
      </c>
      <c r="BQ192" s="13">
        <v>45.75</v>
      </c>
      <c r="BR192" s="13">
        <v>43.819999694824219</v>
      </c>
      <c r="BS192" s="13">
        <v>45.490001678466797</v>
      </c>
      <c r="BT192" s="13">
        <v>26.330366134643551</v>
      </c>
      <c r="BU192" s="13">
        <v>7034200</v>
      </c>
      <c r="BV192" s="13">
        <v>0</v>
      </c>
      <c r="BW192" s="14">
        <v>0</v>
      </c>
    </row>
    <row r="193" spans="66:75" x14ac:dyDescent="0.25">
      <c r="BN193" s="17" t="str">
        <f t="shared" si="2"/>
        <v/>
      </c>
      <c r="BO193" s="19" t="s">
        <v>434</v>
      </c>
      <c r="BP193" s="13">
        <v>44.514999389648438</v>
      </c>
      <c r="BQ193" s="13">
        <v>45.915000915527337</v>
      </c>
      <c r="BR193" s="13">
        <v>44.115001678466797</v>
      </c>
      <c r="BS193" s="13">
        <v>44.169998168945313</v>
      </c>
      <c r="BT193" s="13">
        <v>25.30452919006348</v>
      </c>
      <c r="BU193" s="13">
        <v>5949200</v>
      </c>
      <c r="BV193" s="13">
        <v>0</v>
      </c>
      <c r="BW193" s="14">
        <v>0</v>
      </c>
    </row>
    <row r="194" spans="66:75" x14ac:dyDescent="0.25">
      <c r="BN194" s="17" t="str">
        <f t="shared" si="2"/>
        <v/>
      </c>
      <c r="BO194" s="19" t="s">
        <v>435</v>
      </c>
      <c r="BP194" s="13">
        <v>43.139999389648438</v>
      </c>
      <c r="BQ194" s="13">
        <v>44.759998321533203</v>
      </c>
      <c r="BR194" s="13">
        <v>42.849998474121087</v>
      </c>
      <c r="BS194" s="13">
        <v>44.625</v>
      </c>
      <c r="BT194" s="13">
        <v>25.56519889831543</v>
      </c>
      <c r="BU194" s="13">
        <v>5792000</v>
      </c>
      <c r="BV194" s="13">
        <v>0</v>
      </c>
      <c r="BW194" s="14">
        <v>0</v>
      </c>
    </row>
    <row r="195" spans="66:75" x14ac:dyDescent="0.25">
      <c r="BN195" s="17" t="str">
        <f t="shared" si="2"/>
        <v/>
      </c>
      <c r="BO195" s="19" t="s">
        <v>436</v>
      </c>
      <c r="BP195" s="13"/>
      <c r="BQ195" s="13"/>
      <c r="BR195" s="13"/>
      <c r="BS195" s="13"/>
      <c r="BT195" s="13"/>
      <c r="BU195" s="13"/>
      <c r="BV195" s="13">
        <v>0.439</v>
      </c>
      <c r="BW195" s="14">
        <v>0</v>
      </c>
    </row>
    <row r="196" spans="66:75" x14ac:dyDescent="0.25">
      <c r="BN196" s="17" t="str">
        <f t="shared" si="2"/>
        <v/>
      </c>
      <c r="BO196" s="19" t="s">
        <v>437</v>
      </c>
      <c r="BP196" s="13">
        <v>41.509998321533203</v>
      </c>
      <c r="BQ196" s="13">
        <v>43.514999389648438</v>
      </c>
      <c r="BR196" s="13">
        <v>41.470001220703118</v>
      </c>
      <c r="BS196" s="13">
        <v>43.095001220703118</v>
      </c>
      <c r="BT196" s="13">
        <v>24.688674926757809</v>
      </c>
      <c r="BU196" s="13">
        <v>7479800</v>
      </c>
      <c r="BV196" s="13">
        <v>0</v>
      </c>
      <c r="BW196" s="14">
        <v>0</v>
      </c>
    </row>
    <row r="197" spans="66:75" x14ac:dyDescent="0.25">
      <c r="BN197" s="17" t="str">
        <f t="shared" si="2"/>
        <v/>
      </c>
      <c r="BO197" s="19" t="s">
        <v>438</v>
      </c>
      <c r="BP197" s="13">
        <v>39.169998168945313</v>
      </c>
      <c r="BQ197" s="13">
        <v>42.279998779296882</v>
      </c>
      <c r="BR197" s="13">
        <v>38.275001525878913</v>
      </c>
      <c r="BS197" s="13">
        <v>41.904998779296882</v>
      </c>
      <c r="BT197" s="13">
        <v>23.762384414672852</v>
      </c>
      <c r="BU197" s="13">
        <v>6908000</v>
      </c>
      <c r="BV197" s="13">
        <v>0</v>
      </c>
      <c r="BW197" s="14">
        <v>0</v>
      </c>
    </row>
    <row r="198" spans="66:75" x14ac:dyDescent="0.25">
      <c r="BN198" s="17" t="str">
        <f t="shared" si="2"/>
        <v>2014</v>
      </c>
      <c r="BO198" s="19" t="s">
        <v>439</v>
      </c>
      <c r="BP198" s="15">
        <v>42.755001068115227</v>
      </c>
      <c r="BQ198" s="15">
        <v>42.794998168945313</v>
      </c>
      <c r="BR198" s="15">
        <v>38.284999847412109</v>
      </c>
      <c r="BS198" s="15">
        <v>38.860000610351563</v>
      </c>
      <c r="BT198" s="15">
        <v>22.035707473754879</v>
      </c>
      <c r="BU198" s="15">
        <v>7588200</v>
      </c>
      <c r="BV198" s="15">
        <v>0</v>
      </c>
      <c r="BW198" s="16">
        <v>0</v>
      </c>
    </row>
  </sheetData>
  <phoneticPr fontId="4" type="noConversion"/>
  <pageMargins left="0.75" right="0.75" top="1" bottom="1" header="0.5" footer="0.5"/>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vt:i4>
      </vt:variant>
    </vt:vector>
  </HeadingPairs>
  <TitlesOfParts>
    <vt:vector size="1" baseType="lpstr">
      <vt:lpstr>美股</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Gene Chen</cp:lastModifiedBy>
  <dcterms:created xsi:type="dcterms:W3CDTF">2026-03-06T14:12:42Z</dcterms:created>
  <dcterms:modified xsi:type="dcterms:W3CDTF">2026-03-06T15:05:18Z</dcterms:modified>
</cp:coreProperties>
</file>